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Asus\Desktop\ancora\"/>
    </mc:Choice>
  </mc:AlternateContent>
  <xr:revisionPtr revIDLastSave="0" documentId="13_ncr:1_{3238EC70-8598-4FA1-AFF6-B98AF7CC5B61}" xr6:coauthVersionLast="45" xr6:coauthVersionMax="45" xr10:uidLastSave="{00000000-0000-0000-0000-000000000000}"/>
  <bookViews>
    <workbookView xWindow="28680" yWindow="-1860" windowWidth="29040" windowHeight="15840" activeTab="2" xr2:uid="{00000000-000D-0000-FFFF-FFFF00000000}"/>
  </bookViews>
  <sheets>
    <sheet name="Pla" sheetId="1" r:id="rId1"/>
    <sheet name="Devs" sheetId="2" r:id="rId2"/>
    <sheet name="Pla prov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" i="3" l="1"/>
  <c r="H27" i="3" s="1"/>
  <c r="D5" i="3"/>
  <c r="E5" i="3" s="1"/>
  <c r="J19" i="3"/>
  <c r="J21" i="3" s="1"/>
  <c r="I19" i="3"/>
  <c r="I21" i="3" s="1"/>
  <c r="G19" i="3"/>
  <c r="D18" i="3"/>
  <c r="E18" i="3" s="1"/>
  <c r="D17" i="3"/>
  <c r="E17" i="3" s="1"/>
  <c r="D16" i="3"/>
  <c r="E16" i="3" s="1"/>
  <c r="D15" i="3"/>
  <c r="E15" i="3" s="1"/>
  <c r="D14" i="3"/>
  <c r="E14" i="3" s="1"/>
  <c r="K13" i="3"/>
  <c r="D13" i="3"/>
  <c r="E13" i="3" s="1"/>
  <c r="K12" i="3"/>
  <c r="E12" i="3"/>
  <c r="D12" i="3"/>
  <c r="L11" i="3"/>
  <c r="K11" i="3"/>
  <c r="D11" i="3"/>
  <c r="E11" i="3" s="1"/>
  <c r="K10" i="3"/>
  <c r="D10" i="3"/>
  <c r="E10" i="3" s="1"/>
  <c r="K9" i="3"/>
  <c r="D9" i="3"/>
  <c r="E9" i="3" s="1"/>
  <c r="K8" i="3"/>
  <c r="D8" i="3"/>
  <c r="E8" i="3" s="1"/>
  <c r="K7" i="3"/>
  <c r="L7" i="3" s="1"/>
  <c r="D7" i="3"/>
  <c r="E7" i="3" s="1"/>
  <c r="K6" i="3"/>
  <c r="K5" i="3"/>
  <c r="G7" i="3" s="1"/>
  <c r="G5" i="3"/>
  <c r="L5" i="1"/>
  <c r="M5" i="1" s="1"/>
  <c r="L6" i="1"/>
  <c r="M6" i="1"/>
  <c r="L7" i="1"/>
  <c r="L8" i="1"/>
  <c r="M8" i="1"/>
  <c r="L9" i="1"/>
  <c r="M9" i="1"/>
  <c r="N9" i="1"/>
  <c r="L10" i="1"/>
  <c r="L11" i="1"/>
  <c r="L12" i="1"/>
  <c r="M12" i="1"/>
  <c r="N12" i="1"/>
  <c r="L13" i="1"/>
  <c r="L14" i="1"/>
  <c r="M14" i="1"/>
  <c r="K6" i="1"/>
  <c r="K7" i="1"/>
  <c r="K8" i="1"/>
  <c r="K9" i="1"/>
  <c r="K10" i="1"/>
  <c r="K11" i="1"/>
  <c r="K12" i="1"/>
  <c r="K13" i="1"/>
  <c r="K14" i="1"/>
  <c r="K5" i="1"/>
  <c r="I20" i="1"/>
  <c r="L5" i="3" l="1"/>
  <c r="L19" i="3" s="1"/>
  <c r="L21" i="3" s="1"/>
  <c r="G6" i="3"/>
  <c r="L6" i="3"/>
  <c r="M13" i="3"/>
  <c r="L9" i="3"/>
  <c r="M9" i="3" s="1"/>
  <c r="K19" i="3"/>
  <c r="K21" i="3" s="1"/>
  <c r="M11" i="3"/>
  <c r="N11" i="3" s="1"/>
  <c r="M7" i="3"/>
  <c r="D6" i="3"/>
  <c r="E6" i="3" s="1"/>
  <c r="L12" i="3"/>
  <c r="L10" i="3"/>
  <c r="M10" i="3"/>
  <c r="N10" i="3"/>
  <c r="L8" i="3"/>
  <c r="M8" i="3" s="1"/>
  <c r="M6" i="3"/>
  <c r="L13" i="3"/>
  <c r="N5" i="1"/>
  <c r="O5" i="1"/>
  <c r="Q9" i="1"/>
  <c r="P9" i="1"/>
  <c r="M10" i="1"/>
  <c r="O9" i="1"/>
  <c r="N14" i="1"/>
  <c r="N8" i="1"/>
  <c r="O7" i="1"/>
  <c r="O13" i="1"/>
  <c r="N13" i="1"/>
  <c r="P12" i="1"/>
  <c r="N7" i="1"/>
  <c r="M13" i="1"/>
  <c r="O12" i="1"/>
  <c r="M7" i="1"/>
  <c r="O6" i="1"/>
  <c r="N6" i="1"/>
  <c r="M11" i="1"/>
  <c r="G5" i="1"/>
  <c r="M5" i="3" l="1"/>
  <c r="M19" i="3"/>
  <c r="M21" i="3" s="1"/>
  <c r="N5" i="3"/>
  <c r="N7" i="3"/>
  <c r="O7" i="3" s="1"/>
  <c r="N9" i="3"/>
  <c r="O9" i="3" s="1"/>
  <c r="N6" i="3"/>
  <c r="O10" i="3"/>
  <c r="M12" i="3"/>
  <c r="N12" i="3" s="1"/>
  <c r="N8" i="3"/>
  <c r="O8" i="3" s="1"/>
  <c r="O6" i="3"/>
  <c r="P6" i="3"/>
  <c r="O11" i="3"/>
  <c r="N13" i="3"/>
  <c r="O13" i="3" s="1"/>
  <c r="P6" i="1"/>
  <c r="S6" i="1" s="1"/>
  <c r="R6" i="1"/>
  <c r="Q6" i="1"/>
  <c r="N11" i="1"/>
  <c r="R9" i="1"/>
  <c r="N10" i="1"/>
  <c r="P5" i="1"/>
  <c r="P8" i="1"/>
  <c r="O8" i="1"/>
  <c r="O14" i="1"/>
  <c r="P14" i="1"/>
  <c r="R12" i="1"/>
  <c r="Q12" i="1"/>
  <c r="P7" i="1"/>
  <c r="P13" i="1"/>
  <c r="D7" i="1"/>
  <c r="E7" i="1" s="1"/>
  <c r="D10" i="1"/>
  <c r="E10" i="1" s="1"/>
  <c r="E9" i="1"/>
  <c r="E18" i="1"/>
  <c r="E19" i="1"/>
  <c r="D8" i="1"/>
  <c r="E8" i="1" s="1"/>
  <c r="D9" i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D19" i="1"/>
  <c r="D5" i="1"/>
  <c r="E5" i="1" s="1"/>
  <c r="P8" i="3" l="1"/>
  <c r="N19" i="3"/>
  <c r="N21" i="3" s="1"/>
  <c r="O12" i="3"/>
  <c r="P11" i="3"/>
  <c r="Q11" i="3" s="1"/>
  <c r="P13" i="3"/>
  <c r="P9" i="3"/>
  <c r="P10" i="3"/>
  <c r="Q6" i="3"/>
  <c r="P7" i="3"/>
  <c r="O5" i="3"/>
  <c r="Q10" i="3"/>
  <c r="R10" i="3" s="1"/>
  <c r="Q8" i="3"/>
  <c r="T6" i="1"/>
  <c r="S12" i="1"/>
  <c r="R7" i="1"/>
  <c r="S9" i="1"/>
  <c r="P10" i="1"/>
  <c r="O10" i="1"/>
  <c r="S7" i="1"/>
  <c r="Q7" i="1"/>
  <c r="Q13" i="1"/>
  <c r="Q14" i="1"/>
  <c r="O11" i="1"/>
  <c r="U6" i="1"/>
  <c r="Q5" i="1"/>
  <c r="Q8" i="1"/>
  <c r="M20" i="1"/>
  <c r="M22" i="1" s="1"/>
  <c r="N20" i="1"/>
  <c r="N22" i="1" s="1"/>
  <c r="J20" i="1"/>
  <c r="J22" i="1" s="1"/>
  <c r="I22" i="1"/>
  <c r="G20" i="1"/>
  <c r="K20" i="1"/>
  <c r="K22" i="1" s="1"/>
  <c r="G8" i="1"/>
  <c r="G7" i="1"/>
  <c r="R11" i="3" l="1"/>
  <c r="T10" i="3"/>
  <c r="S11" i="3"/>
  <c r="T11" i="3" s="1"/>
  <c r="P12" i="3"/>
  <c r="O19" i="3"/>
  <c r="O21" i="3" s="1"/>
  <c r="P5" i="3"/>
  <c r="Q5" i="3"/>
  <c r="S10" i="3"/>
  <c r="Q7" i="3"/>
  <c r="Q13" i="3"/>
  <c r="R8" i="3"/>
  <c r="Q9" i="3"/>
  <c r="R6" i="3"/>
  <c r="R8" i="1"/>
  <c r="P11" i="1"/>
  <c r="T12" i="1"/>
  <c r="R13" i="1"/>
  <c r="S10" i="1"/>
  <c r="T9" i="1"/>
  <c r="Q10" i="1"/>
  <c r="R5" i="1"/>
  <c r="R14" i="1"/>
  <c r="T7" i="1"/>
  <c r="V6" i="1"/>
  <c r="R10" i="1"/>
  <c r="L20" i="1"/>
  <c r="L22" i="1" s="1"/>
  <c r="O20" i="1"/>
  <c r="O22" i="1" s="1"/>
  <c r="S6" i="3" l="1"/>
  <c r="R13" i="3"/>
  <c r="T13" i="3" s="1"/>
  <c r="R9" i="3"/>
  <c r="V10" i="3"/>
  <c r="U11" i="3"/>
  <c r="S13" i="3"/>
  <c r="P19" i="3"/>
  <c r="P21" i="3" s="1"/>
  <c r="Q12" i="3"/>
  <c r="R5" i="3"/>
  <c r="R7" i="3"/>
  <c r="U10" i="3"/>
  <c r="S8" i="3"/>
  <c r="T13" i="1"/>
  <c r="U13" i="1" s="1"/>
  <c r="U7" i="1"/>
  <c r="S8" i="1"/>
  <c r="U9" i="1"/>
  <c r="U10" i="1"/>
  <c r="T10" i="1"/>
  <c r="Q11" i="1"/>
  <c r="S5" i="1"/>
  <c r="W6" i="1"/>
  <c r="S14" i="1"/>
  <c r="S13" i="1"/>
  <c r="U12" i="1"/>
  <c r="P20" i="1"/>
  <c r="P22" i="1" s="1"/>
  <c r="T8" i="3" l="1"/>
  <c r="V11" i="3"/>
  <c r="W10" i="3"/>
  <c r="X10" i="3" s="1"/>
  <c r="U13" i="3"/>
  <c r="S7" i="3"/>
  <c r="S5" i="3"/>
  <c r="R12" i="3"/>
  <c r="Q19" i="3"/>
  <c r="Q21" i="3" s="1"/>
  <c r="T6" i="3"/>
  <c r="U6" i="3" s="1"/>
  <c r="Y10" i="3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S9" i="3"/>
  <c r="R19" i="3"/>
  <c r="R21" i="3" s="1"/>
  <c r="T5" i="3"/>
  <c r="U5" i="3" s="1"/>
  <c r="V13" i="1"/>
  <c r="T14" i="1"/>
  <c r="V10" i="1"/>
  <c r="W10" i="1" s="1"/>
  <c r="X10" i="1" s="1"/>
  <c r="U8" i="1"/>
  <c r="Y6" i="1"/>
  <c r="V8" i="1"/>
  <c r="T5" i="1"/>
  <c r="W8" i="1"/>
  <c r="T8" i="1"/>
  <c r="R11" i="1"/>
  <c r="X6" i="1"/>
  <c r="V7" i="1"/>
  <c r="V12" i="1"/>
  <c r="V9" i="1"/>
  <c r="W9" i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Q20" i="1"/>
  <c r="Q22" i="1" s="1"/>
  <c r="T9" i="3" l="1"/>
  <c r="U9" i="3" s="1"/>
  <c r="V9" i="3" s="1"/>
  <c r="T7" i="3"/>
  <c r="U7" i="3" s="1"/>
  <c r="W11" i="3"/>
  <c r="U8" i="3"/>
  <c r="V8" i="3" s="1"/>
  <c r="W8" i="3" s="1"/>
  <c r="X8" i="3" s="1"/>
  <c r="Y8" i="3" s="1"/>
  <c r="Z8" i="3" s="1"/>
  <c r="AA8" i="3" s="1"/>
  <c r="V13" i="3"/>
  <c r="AT10" i="3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BE10" i="3" s="1"/>
  <c r="BF10" i="3" s="1"/>
  <c r="BG10" i="3" s="1"/>
  <c r="BH10" i="3" s="1"/>
  <c r="BI10" i="3" s="1"/>
  <c r="S12" i="3"/>
  <c r="S19" i="3" s="1"/>
  <c r="S21" i="3" s="1"/>
  <c r="V5" i="3"/>
  <c r="V6" i="3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Y10" i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D9" i="1"/>
  <c r="BE9" i="1" s="1"/>
  <c r="BF9" i="1" s="1"/>
  <c r="BG9" i="1" s="1"/>
  <c r="BH9" i="1" s="1"/>
  <c r="BI9" i="1" s="1"/>
  <c r="AB8" i="1"/>
  <c r="AC8" i="1" s="1"/>
  <c r="AD8" i="1" s="1"/>
  <c r="AE8" i="1" s="1"/>
  <c r="V5" i="1"/>
  <c r="W5" i="1" s="1"/>
  <c r="X5" i="1" s="1"/>
  <c r="Y5" i="1" s="1"/>
  <c r="Z5" i="1" s="1"/>
  <c r="AA5" i="1" s="1"/>
  <c r="AB5" i="1" s="1"/>
  <c r="AC5" i="1" s="1"/>
  <c r="AD5" i="1" s="1"/>
  <c r="AE5" i="1" s="1"/>
  <c r="U5" i="1"/>
  <c r="W7" i="1"/>
  <c r="W12" i="1"/>
  <c r="X12" i="1" s="1"/>
  <c r="Y12" i="1" s="1"/>
  <c r="AF12" i="1"/>
  <c r="Z12" i="1"/>
  <c r="AA12" i="1" s="1"/>
  <c r="AB12" i="1" s="1"/>
  <c r="AC12" i="1" s="1"/>
  <c r="AD12" i="1" s="1"/>
  <c r="AE12" i="1" s="1"/>
  <c r="AG12" i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Z6" i="1"/>
  <c r="X8" i="1"/>
  <c r="Y8" i="1" s="1"/>
  <c r="Z8" i="1" s="1"/>
  <c r="AA8" i="1" s="1"/>
  <c r="AW9" i="1"/>
  <c r="AX9" i="1" s="1"/>
  <c r="AY9" i="1" s="1"/>
  <c r="AZ9" i="1" s="1"/>
  <c r="BA9" i="1" s="1"/>
  <c r="BB9" i="1" s="1"/>
  <c r="BC9" i="1" s="1"/>
  <c r="S11" i="1"/>
  <c r="W13" i="1"/>
  <c r="U14" i="1"/>
  <c r="R20" i="1"/>
  <c r="R22" i="1" s="1"/>
  <c r="S20" i="1"/>
  <c r="S22" i="1" s="1"/>
  <c r="W9" i="3" l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BE9" i="3" s="1"/>
  <c r="BF9" i="3" s="1"/>
  <c r="BG9" i="3" s="1"/>
  <c r="BH9" i="3" s="1"/>
  <c r="BI9" i="3" s="1"/>
  <c r="W5" i="3"/>
  <c r="AN6" i="3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AB8" i="3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W13" i="3"/>
  <c r="X13" i="3" s="1"/>
  <c r="Y13" i="3" s="1"/>
  <c r="Z13" i="3" s="1"/>
  <c r="V7" i="3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BE7" i="3" s="1"/>
  <c r="BF7" i="3" s="1"/>
  <c r="BG7" i="3" s="1"/>
  <c r="BH7" i="3" s="1"/>
  <c r="BI7" i="3" s="1"/>
  <c r="T12" i="3"/>
  <c r="U12" i="3" s="1"/>
  <c r="V12" i="3" s="1"/>
  <c r="W12" i="3" s="1"/>
  <c r="X12" i="3" s="1"/>
  <c r="Y12" i="3" s="1"/>
  <c r="X11" i="3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BB11" i="3" s="1"/>
  <c r="BC11" i="3" s="1"/>
  <c r="BD11" i="3" s="1"/>
  <c r="BE11" i="3" s="1"/>
  <c r="BF11" i="3" s="1"/>
  <c r="BG11" i="3" s="1"/>
  <c r="BH11" i="3" s="1"/>
  <c r="BI11" i="3" s="1"/>
  <c r="AF8" i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AA6" i="1"/>
  <c r="AB6" i="1" s="1"/>
  <c r="AC6" i="1" s="1"/>
  <c r="AD6" i="1" s="1"/>
  <c r="AE6" i="1" s="1"/>
  <c r="X13" i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T11" i="1"/>
  <c r="U11" i="1" s="1"/>
  <c r="U20" i="1" s="1"/>
  <c r="U22" i="1" s="1"/>
  <c r="Y14" i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V14" i="1"/>
  <c r="W14" i="1" s="1"/>
  <c r="X14" i="1" s="1"/>
  <c r="AF5" i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AF6" i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Y7" i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X7" i="1"/>
  <c r="H9" i="1"/>
  <c r="U19" i="3" l="1"/>
  <c r="U21" i="3" s="1"/>
  <c r="AA13" i="3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C8" i="3"/>
  <c r="BD8" i="3" s="1"/>
  <c r="BE8" i="3" s="1"/>
  <c r="BF8" i="3" s="1"/>
  <c r="BG8" i="3" s="1"/>
  <c r="BH8" i="3" s="1"/>
  <c r="BI8" i="3" s="1"/>
  <c r="H8" i="3"/>
  <c r="H19" i="3" s="1"/>
  <c r="H21" i="3" s="1"/>
  <c r="T19" i="3"/>
  <c r="T21" i="3" s="1"/>
  <c r="W19" i="3"/>
  <c r="W21" i="3" s="1"/>
  <c r="X5" i="3"/>
  <c r="Z12" i="3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V19" i="3"/>
  <c r="V21" i="3" s="1"/>
  <c r="BD5" i="1"/>
  <c r="AJ7" i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V11" i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T20" i="1"/>
  <c r="T22" i="1" s="1"/>
  <c r="V20" i="1"/>
  <c r="V22" i="1" s="1"/>
  <c r="X19" i="3" l="1"/>
  <c r="X21" i="3" s="1"/>
  <c r="Y5" i="3"/>
  <c r="BD7" i="1"/>
  <c r="BE7" i="1" s="1"/>
  <c r="BF7" i="1" s="1"/>
  <c r="BG7" i="1" s="1"/>
  <c r="BH7" i="1" s="1"/>
  <c r="BI7" i="1" s="1"/>
  <c r="BC20" i="1"/>
  <c r="BC22" i="1" s="1"/>
  <c r="BE5" i="1"/>
  <c r="W20" i="1"/>
  <c r="W22" i="1" s="1"/>
  <c r="Y19" i="3" l="1"/>
  <c r="Y21" i="3" s="1"/>
  <c r="Z5" i="3"/>
  <c r="BF5" i="1"/>
  <c r="BE20" i="1"/>
  <c r="BE22" i="1" s="1"/>
  <c r="BD20" i="1"/>
  <c r="BD22" i="1" s="1"/>
  <c r="X20" i="1"/>
  <c r="X22" i="1" s="1"/>
  <c r="Z19" i="3" l="1"/>
  <c r="Z21" i="3" s="1"/>
  <c r="AA5" i="3"/>
  <c r="BG5" i="1"/>
  <c r="BF20" i="1"/>
  <c r="BF22" i="1" s="1"/>
  <c r="Y20" i="1"/>
  <c r="Y22" i="1" s="1"/>
  <c r="AA19" i="3" l="1"/>
  <c r="AA21" i="3" s="1"/>
  <c r="AB5" i="3"/>
  <c r="BH5" i="1"/>
  <c r="BG20" i="1"/>
  <c r="BG22" i="1" s="1"/>
  <c r="AA20" i="1"/>
  <c r="AA22" i="1" s="1"/>
  <c r="Z20" i="1"/>
  <c r="Z22" i="1" s="1"/>
  <c r="AB19" i="3" l="1"/>
  <c r="AB21" i="3" s="1"/>
  <c r="AC5" i="3"/>
  <c r="BI5" i="1"/>
  <c r="BI20" i="1" s="1"/>
  <c r="BI22" i="1" s="1"/>
  <c r="BH20" i="1"/>
  <c r="BH22" i="1" s="1"/>
  <c r="AB20" i="1"/>
  <c r="AB22" i="1" s="1"/>
  <c r="AC19" i="3" l="1"/>
  <c r="AC21" i="3" s="1"/>
  <c r="AD5" i="3"/>
  <c r="AD20" i="1"/>
  <c r="AD22" i="1" s="1"/>
  <c r="AC20" i="1"/>
  <c r="AC22" i="1" s="1"/>
  <c r="AD19" i="3" l="1"/>
  <c r="AD21" i="3" s="1"/>
  <c r="AE5" i="3"/>
  <c r="AE20" i="1"/>
  <c r="AE22" i="1" s="1"/>
  <c r="AE19" i="3" l="1"/>
  <c r="AE21" i="3" s="1"/>
  <c r="AF5" i="3"/>
  <c r="AF20" i="1"/>
  <c r="AF22" i="1" s="1"/>
  <c r="AF19" i="3" l="1"/>
  <c r="AF21" i="3" s="1"/>
  <c r="AG5" i="3"/>
  <c r="AG20" i="1"/>
  <c r="AG22" i="1" s="1"/>
  <c r="AG19" i="3" l="1"/>
  <c r="AG21" i="3" s="1"/>
  <c r="AH5" i="3"/>
  <c r="AH20" i="1"/>
  <c r="AH22" i="1" s="1"/>
  <c r="AH19" i="3" l="1"/>
  <c r="AH21" i="3" s="1"/>
  <c r="AI5" i="3"/>
  <c r="AI20" i="1"/>
  <c r="AI22" i="1" s="1"/>
  <c r="AI19" i="3" l="1"/>
  <c r="AI21" i="3" s="1"/>
  <c r="AJ5" i="3"/>
  <c r="AJ20" i="1"/>
  <c r="AJ22" i="1" s="1"/>
  <c r="AJ19" i="3" l="1"/>
  <c r="AJ21" i="3" s="1"/>
  <c r="AK5" i="3"/>
  <c r="AK20" i="1"/>
  <c r="AK22" i="1" s="1"/>
  <c r="AK19" i="3" l="1"/>
  <c r="AK21" i="3" s="1"/>
  <c r="AL5" i="3"/>
  <c r="AL20" i="1"/>
  <c r="AL22" i="1" s="1"/>
  <c r="AL19" i="3" l="1"/>
  <c r="AL21" i="3" s="1"/>
  <c r="AM5" i="3"/>
  <c r="AM20" i="1"/>
  <c r="AM22" i="1" s="1"/>
  <c r="AM19" i="3" l="1"/>
  <c r="AM21" i="3" s="1"/>
  <c r="AN5" i="3"/>
  <c r="AN20" i="1"/>
  <c r="AN22" i="1" s="1"/>
  <c r="AN19" i="3" l="1"/>
  <c r="AN21" i="3" s="1"/>
  <c r="AO5" i="3"/>
  <c r="AO20" i="1"/>
  <c r="AO22" i="1" s="1"/>
  <c r="AO19" i="3" l="1"/>
  <c r="AO21" i="3" s="1"/>
  <c r="AP5" i="3"/>
  <c r="AP20" i="1"/>
  <c r="AP22" i="1" s="1"/>
  <c r="AP19" i="3" l="1"/>
  <c r="AP21" i="3" s="1"/>
  <c r="AQ5" i="3"/>
  <c r="AQ20" i="1"/>
  <c r="AQ22" i="1" s="1"/>
  <c r="AQ19" i="3" l="1"/>
  <c r="AQ21" i="3" s="1"/>
  <c r="AR5" i="3"/>
  <c r="AR20" i="1"/>
  <c r="AR22" i="1" s="1"/>
  <c r="AR19" i="3" l="1"/>
  <c r="AR21" i="3" s="1"/>
  <c r="AS5" i="3"/>
  <c r="AS20" i="1"/>
  <c r="AS22" i="1" s="1"/>
  <c r="AS19" i="3" l="1"/>
  <c r="AS21" i="3" s="1"/>
  <c r="AT5" i="3"/>
  <c r="AT20" i="1"/>
  <c r="AT22" i="1" s="1"/>
  <c r="AT19" i="3" l="1"/>
  <c r="AT21" i="3" s="1"/>
  <c r="AU5" i="3"/>
  <c r="AU20" i="1"/>
  <c r="AU22" i="1" s="1"/>
  <c r="AU19" i="3" l="1"/>
  <c r="AU21" i="3" s="1"/>
  <c r="AV5" i="3"/>
  <c r="AV20" i="1"/>
  <c r="AV22" i="1" s="1"/>
  <c r="AV19" i="3" l="1"/>
  <c r="AV21" i="3" s="1"/>
  <c r="AW5" i="3"/>
  <c r="AW20" i="1"/>
  <c r="AW22" i="1" s="1"/>
  <c r="AW19" i="3" l="1"/>
  <c r="AW21" i="3" s="1"/>
  <c r="AX5" i="3"/>
  <c r="AX20" i="1"/>
  <c r="AX22" i="1" s="1"/>
  <c r="AX19" i="3" l="1"/>
  <c r="AX21" i="3" s="1"/>
  <c r="AY5" i="3"/>
  <c r="AY20" i="1"/>
  <c r="AY22" i="1" s="1"/>
  <c r="AY19" i="3" l="1"/>
  <c r="AY21" i="3" s="1"/>
  <c r="AZ5" i="3"/>
  <c r="AZ20" i="1"/>
  <c r="AZ22" i="1" s="1"/>
  <c r="BA20" i="1"/>
  <c r="BA22" i="1" s="1"/>
  <c r="AZ19" i="3" l="1"/>
  <c r="AZ21" i="3" s="1"/>
  <c r="BA5" i="3"/>
  <c r="BB20" i="1"/>
  <c r="BB22" i="1" s="1"/>
  <c r="H20" i="1"/>
  <c r="H22" i="1" s="1"/>
  <c r="BA19" i="3" l="1"/>
  <c r="BA21" i="3" s="1"/>
  <c r="BB5" i="3"/>
  <c r="BB19" i="3" l="1"/>
  <c r="BB21" i="3" s="1"/>
  <c r="BC5" i="3"/>
  <c r="BC19" i="3" l="1"/>
  <c r="BC21" i="3" s="1"/>
  <c r="BD5" i="3"/>
  <c r="BD19" i="3" l="1"/>
  <c r="BD21" i="3" s="1"/>
  <c r="BE5" i="3"/>
  <c r="BE19" i="3" l="1"/>
  <c r="BE21" i="3" s="1"/>
  <c r="BF5" i="3"/>
  <c r="BF19" i="3" l="1"/>
  <c r="BF21" i="3" s="1"/>
  <c r="BG5" i="3"/>
  <c r="BG19" i="3" l="1"/>
  <c r="BG21" i="3" s="1"/>
  <c r="BH5" i="3"/>
  <c r="BH19" i="3" l="1"/>
  <c r="BH21" i="3" s="1"/>
  <c r="BI5" i="3"/>
  <c r="BI19" i="3" s="1"/>
  <c r="BI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Morte</author>
  </authors>
  <commentList>
    <comment ref="A4" authorId="0" shapeId="0" xr:uid="{DD63F801-21F1-4538-A24F-4E5AA1596D27}">
      <text>
        <r>
          <rPr>
            <b/>
            <sz val="9"/>
            <color indexed="81"/>
            <rFont val="Tahoma"/>
            <family val="2"/>
          </rPr>
          <t>Kevin Morte:</t>
        </r>
        <r>
          <rPr>
            <sz val="9"/>
            <color indexed="81"/>
            <rFont val="Tahoma"/>
            <family val="2"/>
          </rPr>
          <t xml:space="preserve">
Determina el termini i, en bona part, la urgència/prioritat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Morte</author>
  </authors>
  <commentList>
    <comment ref="A4" authorId="0" shapeId="0" xr:uid="{E592859F-E7E9-4CDE-8406-D77CFF9839A5}">
      <text>
        <r>
          <rPr>
            <b/>
            <sz val="9"/>
            <color indexed="81"/>
            <rFont val="Tahoma"/>
            <family val="2"/>
          </rPr>
          <t>Kevin Morte:</t>
        </r>
        <r>
          <rPr>
            <sz val="9"/>
            <color indexed="81"/>
            <rFont val="Tahoma"/>
            <family val="2"/>
          </rPr>
          <t xml:space="preserve">
Determina el termini i, en bona part, la urgència/prioritat
</t>
        </r>
      </text>
    </comment>
  </commentList>
</comments>
</file>

<file path=xl/sharedStrings.xml><?xml version="1.0" encoding="utf-8"?>
<sst xmlns="http://schemas.openxmlformats.org/spreadsheetml/2006/main" count="164" uniqueCount="44">
  <si>
    <t>Setmana</t>
  </si>
  <si>
    <t>Anabel</t>
  </si>
  <si>
    <t>Linda</t>
  </si>
  <si>
    <t>Gregory</t>
  </si>
  <si>
    <t>Llorenç</t>
  </si>
  <si>
    <t>A</t>
  </si>
  <si>
    <t>L</t>
  </si>
  <si>
    <t>G</t>
  </si>
  <si>
    <t>Kolectiva</t>
  </si>
  <si>
    <t>Autopractik</t>
  </si>
  <si>
    <t>Rmotion</t>
  </si>
  <si>
    <t>Gespromo</t>
  </si>
  <si>
    <t>Rapid i Segur</t>
  </si>
  <si>
    <t>Das Formació</t>
  </si>
  <si>
    <t>Deyse</t>
  </si>
  <si>
    <t>Unilever</t>
  </si>
  <si>
    <t>Easy Daily</t>
  </si>
  <si>
    <t>Cenema</t>
  </si>
  <si>
    <t>Uniformes Colegio</t>
  </si>
  <si>
    <t>Cortinas Juan</t>
  </si>
  <si>
    <t>E Football</t>
  </si>
  <si>
    <t>CargoFlores</t>
  </si>
  <si>
    <t>Feb</t>
  </si>
  <si>
    <t>Mar</t>
  </si>
  <si>
    <t>Abr</t>
  </si>
  <si>
    <t>Mar/Abr</t>
  </si>
  <si>
    <t>Mai</t>
  </si>
  <si>
    <t>Jun</t>
  </si>
  <si>
    <t>Jul</t>
  </si>
  <si>
    <t>Ago</t>
  </si>
  <si>
    <t>Set</t>
  </si>
  <si>
    <t>Set/Oct</t>
  </si>
  <si>
    <t>Oct</t>
  </si>
  <si>
    <t>Nov</t>
  </si>
  <si>
    <t>Dec</t>
  </si>
  <si>
    <t>Horas</t>
  </si>
  <si>
    <t>Tasa ocupació</t>
  </si>
  <si>
    <t>Hores setmana</t>
  </si>
  <si>
    <t>Semanas</t>
  </si>
  <si>
    <t>Gen</t>
  </si>
  <si>
    <t>Hores projecte</t>
  </si>
  <si>
    <t>Planificades</t>
  </si>
  <si>
    <t>H. Pendents</t>
  </si>
  <si>
    <t>Semana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</si>
</sst>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Fill="1" applyBorder="1"/>
    <xf numFmtId="2" fontId="0" fillId="0" borderId="0" xfId="0" applyNumberFormat="1"/>
    <xf numFmtId="0" fontId="2" fillId="0" borderId="0" xfId="0" applyFont="1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"/>
  <sheetViews>
    <sheetView workbookViewId="0">
      <selection activeCell="J15" sqref="J15"/>
    </sheetView>
  </sheetViews>
  <sheetFormatPr baseColWidth="10" defaultColWidth="8.88671875" defaultRowHeight="14.4" x14ac:dyDescent="0.3"/>
  <cols>
    <col min="2" max="2" width="9.5546875" bestFit="1" customWidth="1"/>
    <col min="3" max="3" width="13.21875" bestFit="1" customWidth="1"/>
    <col min="4" max="4" width="11.33203125" bestFit="1" customWidth="1"/>
    <col min="6" max="6" width="16.21875" bestFit="1" customWidth="1"/>
    <col min="8" max="8" width="11.33203125" bestFit="1" customWidth="1"/>
    <col min="12" max="12" width="11.33203125" bestFit="1" customWidth="1"/>
    <col min="13" max="14" width="19.33203125" bestFit="1" customWidth="1"/>
  </cols>
  <sheetData>
    <row r="1" spans="1:61" x14ac:dyDescent="0.3">
      <c r="G1" t="s">
        <v>22</v>
      </c>
      <c r="H1" t="s">
        <v>22</v>
      </c>
      <c r="I1" t="s">
        <v>22</v>
      </c>
      <c r="J1" t="s">
        <v>23</v>
      </c>
      <c r="K1" t="s">
        <v>23</v>
      </c>
      <c r="L1" t="s">
        <v>23</v>
      </c>
      <c r="M1" t="s">
        <v>23</v>
      </c>
      <c r="N1" t="s">
        <v>25</v>
      </c>
      <c r="O1" t="s">
        <v>24</v>
      </c>
      <c r="P1" t="s">
        <v>24</v>
      </c>
      <c r="Q1" t="s">
        <v>24</v>
      </c>
      <c r="R1" t="s">
        <v>24</v>
      </c>
      <c r="S1" t="s">
        <v>26</v>
      </c>
      <c r="T1" t="s">
        <v>26</v>
      </c>
      <c r="U1" t="s">
        <v>26</v>
      </c>
      <c r="V1" t="s">
        <v>26</v>
      </c>
      <c r="W1" t="s">
        <v>27</v>
      </c>
      <c r="X1" t="s">
        <v>27</v>
      </c>
      <c r="Y1" t="s">
        <v>27</v>
      </c>
      <c r="Z1" t="s">
        <v>27</v>
      </c>
      <c r="AA1" t="s">
        <v>28</v>
      </c>
      <c r="AB1" t="s">
        <v>28</v>
      </c>
      <c r="AC1" t="s">
        <v>28</v>
      </c>
      <c r="AD1" t="s">
        <v>28</v>
      </c>
      <c r="AE1" t="s">
        <v>28</v>
      </c>
      <c r="AF1" t="s">
        <v>29</v>
      </c>
      <c r="AG1" t="s">
        <v>29</v>
      </c>
      <c r="AH1" t="s">
        <v>29</v>
      </c>
      <c r="AI1" t="s">
        <v>29</v>
      </c>
      <c r="AJ1" t="s">
        <v>30</v>
      </c>
      <c r="AK1" t="s">
        <v>30</v>
      </c>
      <c r="AL1" t="s">
        <v>30</v>
      </c>
      <c r="AM1" t="s">
        <v>30</v>
      </c>
      <c r="AN1" t="s">
        <v>31</v>
      </c>
      <c r="AO1" t="s">
        <v>32</v>
      </c>
      <c r="AP1" t="s">
        <v>32</v>
      </c>
      <c r="AQ1" t="s">
        <v>32</v>
      </c>
      <c r="AR1" t="s">
        <v>32</v>
      </c>
      <c r="AS1" t="s">
        <v>33</v>
      </c>
      <c r="AT1" t="s">
        <v>33</v>
      </c>
      <c r="AU1" t="s">
        <v>33</v>
      </c>
      <c r="AV1" t="s">
        <v>33</v>
      </c>
      <c r="AW1" t="s">
        <v>34</v>
      </c>
      <c r="AX1" t="s">
        <v>34</v>
      </c>
      <c r="AY1" t="s">
        <v>34</v>
      </c>
      <c r="AZ1" t="s">
        <v>34</v>
      </c>
      <c r="BA1" t="s">
        <v>34</v>
      </c>
      <c r="BB1" t="s">
        <v>39</v>
      </c>
      <c r="BC1" t="s">
        <v>39</v>
      </c>
      <c r="BD1" t="s">
        <v>39</v>
      </c>
      <c r="BE1" t="s">
        <v>39</v>
      </c>
      <c r="BF1" t="s">
        <v>22</v>
      </c>
      <c r="BG1" t="s">
        <v>22</v>
      </c>
      <c r="BH1" t="s">
        <v>22</v>
      </c>
      <c r="BI1" t="s">
        <v>22</v>
      </c>
    </row>
    <row r="2" spans="1:61" x14ac:dyDescent="0.3">
      <c r="F2" t="s">
        <v>35</v>
      </c>
      <c r="G2">
        <v>185</v>
      </c>
      <c r="H2">
        <v>185</v>
      </c>
      <c r="I2">
        <v>185</v>
      </c>
      <c r="J2">
        <v>185</v>
      </c>
      <c r="K2">
        <v>185</v>
      </c>
      <c r="L2">
        <v>185</v>
      </c>
      <c r="M2">
        <v>185</v>
      </c>
      <c r="N2">
        <v>185</v>
      </c>
      <c r="O2">
        <v>185</v>
      </c>
      <c r="P2">
        <v>185</v>
      </c>
      <c r="Q2">
        <v>185</v>
      </c>
      <c r="R2">
        <v>185</v>
      </c>
      <c r="S2">
        <v>185</v>
      </c>
      <c r="T2">
        <v>185</v>
      </c>
      <c r="U2">
        <v>185</v>
      </c>
      <c r="V2">
        <v>185</v>
      </c>
      <c r="W2">
        <v>185</v>
      </c>
      <c r="X2">
        <v>185</v>
      </c>
      <c r="Y2">
        <v>185</v>
      </c>
      <c r="Z2">
        <v>185</v>
      </c>
      <c r="AA2">
        <v>185</v>
      </c>
      <c r="AB2">
        <v>185</v>
      </c>
      <c r="AC2">
        <v>185</v>
      </c>
      <c r="AD2">
        <v>185</v>
      </c>
      <c r="AE2">
        <v>185</v>
      </c>
      <c r="AF2">
        <v>185</v>
      </c>
      <c r="AG2">
        <v>185</v>
      </c>
      <c r="AH2">
        <v>185</v>
      </c>
      <c r="AI2">
        <v>185</v>
      </c>
      <c r="AJ2">
        <v>185</v>
      </c>
      <c r="AK2">
        <v>185</v>
      </c>
      <c r="AL2">
        <v>185</v>
      </c>
      <c r="AM2">
        <v>185</v>
      </c>
      <c r="AN2">
        <v>185</v>
      </c>
      <c r="AO2">
        <v>185</v>
      </c>
      <c r="AP2">
        <v>185</v>
      </c>
      <c r="AQ2">
        <v>185</v>
      </c>
      <c r="AR2">
        <v>185</v>
      </c>
      <c r="AS2">
        <v>185</v>
      </c>
      <c r="AT2">
        <v>185</v>
      </c>
      <c r="AU2">
        <v>185</v>
      </c>
      <c r="AV2">
        <v>185</v>
      </c>
      <c r="AW2">
        <v>185</v>
      </c>
      <c r="AX2">
        <v>185</v>
      </c>
      <c r="AY2">
        <v>185</v>
      </c>
      <c r="AZ2">
        <v>185</v>
      </c>
      <c r="BA2">
        <v>185</v>
      </c>
      <c r="BB2">
        <v>185</v>
      </c>
      <c r="BC2">
        <v>185</v>
      </c>
      <c r="BD2">
        <v>185</v>
      </c>
      <c r="BE2">
        <v>185</v>
      </c>
      <c r="BF2">
        <v>185</v>
      </c>
      <c r="BG2">
        <v>185</v>
      </c>
      <c r="BH2">
        <v>185</v>
      </c>
      <c r="BI2">
        <v>185</v>
      </c>
    </row>
    <row r="3" spans="1:61" x14ac:dyDescent="0.3">
      <c r="F3" s="2" t="s">
        <v>0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22</v>
      </c>
      <c r="W3">
        <v>23</v>
      </c>
      <c r="X3">
        <v>24</v>
      </c>
      <c r="Y3">
        <v>25</v>
      </c>
      <c r="Z3">
        <v>26</v>
      </c>
      <c r="AA3">
        <v>27</v>
      </c>
      <c r="AB3">
        <v>28</v>
      </c>
      <c r="AC3">
        <v>29</v>
      </c>
      <c r="AD3">
        <v>30</v>
      </c>
      <c r="AE3">
        <v>31</v>
      </c>
      <c r="AF3">
        <v>32</v>
      </c>
      <c r="AG3">
        <v>33</v>
      </c>
      <c r="AH3">
        <v>34</v>
      </c>
      <c r="AI3">
        <v>35</v>
      </c>
      <c r="AJ3">
        <v>36</v>
      </c>
      <c r="AK3">
        <v>37</v>
      </c>
      <c r="AL3">
        <v>38</v>
      </c>
      <c r="AM3">
        <v>39</v>
      </c>
      <c r="AN3">
        <v>40</v>
      </c>
      <c r="AO3">
        <v>41</v>
      </c>
      <c r="AP3">
        <v>42</v>
      </c>
      <c r="AQ3">
        <v>43</v>
      </c>
      <c r="AR3">
        <v>44</v>
      </c>
      <c r="AS3">
        <v>45</v>
      </c>
      <c r="AT3">
        <v>46</v>
      </c>
      <c r="AU3">
        <v>47</v>
      </c>
      <c r="AV3">
        <v>48</v>
      </c>
      <c r="AW3">
        <v>49</v>
      </c>
      <c r="AX3">
        <v>50</v>
      </c>
      <c r="AY3">
        <v>51</v>
      </c>
      <c r="AZ3">
        <v>52</v>
      </c>
      <c r="BA3">
        <v>53</v>
      </c>
      <c r="BB3">
        <v>1</v>
      </c>
      <c r="BC3">
        <v>2</v>
      </c>
      <c r="BD3">
        <v>3</v>
      </c>
      <c r="BE3">
        <v>4</v>
      </c>
      <c r="BF3">
        <v>5</v>
      </c>
      <c r="BG3">
        <v>6</v>
      </c>
      <c r="BH3">
        <v>7</v>
      </c>
      <c r="BI3">
        <v>8</v>
      </c>
    </row>
    <row r="4" spans="1:61" x14ac:dyDescent="0.3">
      <c r="A4" s="5" t="s">
        <v>38</v>
      </c>
      <c r="B4" s="5" t="s">
        <v>43</v>
      </c>
      <c r="C4" s="5" t="s">
        <v>40</v>
      </c>
      <c r="D4" s="5" t="s">
        <v>41</v>
      </c>
      <c r="E4" s="5" t="s">
        <v>42</v>
      </c>
    </row>
    <row r="5" spans="1:61" x14ac:dyDescent="0.3">
      <c r="A5">
        <v>46</v>
      </c>
      <c r="B5">
        <v>1</v>
      </c>
      <c r="C5">
        <v>690</v>
      </c>
      <c r="D5">
        <f>SUM(I5:J5)</f>
        <v>58</v>
      </c>
      <c r="E5">
        <f>C5-D5</f>
        <v>632</v>
      </c>
      <c r="F5" t="s">
        <v>14</v>
      </c>
      <c r="G5">
        <f>A5-COUNTA($I$5:J5)</f>
        <v>44</v>
      </c>
      <c r="I5" s="6">
        <v>29</v>
      </c>
      <c r="J5" s="6">
        <v>29</v>
      </c>
      <c r="K5" s="7">
        <f>IF(ISERROR(($C5-SUM($I5:J5))/($A5-COUNTA($I5:J5))),0,($C5-SUM($I5:J5))/($A5-COUNTA($I5:J5)))</f>
        <v>14.363636363636363</v>
      </c>
      <c r="L5" s="7">
        <f>IF(ISERROR(($C5-SUM($I5:K5))/($A5-COUNTA($I5:K5))),0,($C5-SUM($I5:K5))/($A5-COUNTA($I5:K5)))</f>
        <v>14.363636363636363</v>
      </c>
      <c r="M5" s="7">
        <f>IF(ISERROR(($C5-SUM($I5:L5))/($A5-COUNTA($I5:L5))),0,($C5-SUM($I5:L5))/($A5-COUNTA($I5:L5)))</f>
        <v>14.363636363636363</v>
      </c>
      <c r="N5" s="7">
        <f>IF(ISERROR(($C5-SUM($I5:M5))/($A5-COUNTA($I5:M5))),0,($C5-SUM($I5:M5))/($A5-COUNTA($I5:M5)))</f>
        <v>14.363636363636363</v>
      </c>
      <c r="O5" s="7">
        <f>IF(ISERROR(($C5-SUM($I5:N5))/($A5-COUNTA($I5:N5))),0,($C5-SUM($I5:N5))/($A5-COUNTA($I5:N5)))</f>
        <v>14.363636363636363</v>
      </c>
      <c r="P5" s="7">
        <f>IF(ISERROR(($C5-SUM($I5:O5))/($A5-COUNTA($I5:O5))),0,($C5-SUM($I5:O5))/($A5-COUNTA($I5:O5)))</f>
        <v>14.363636363636365</v>
      </c>
      <c r="Q5" s="7">
        <f>IF(ISERROR(($C5-SUM($I5:P5))/($A5-COUNTA($I5:P5))),0,($C5-SUM($I5:P5))/($A5-COUNTA($I5:P5)))</f>
        <v>14.363636363636362</v>
      </c>
      <c r="R5" s="7">
        <f>IF(ISERROR(($C5-SUM($I5:Q5))/($A5-COUNTA($I5:Q5))),0,($C5-SUM($I5:Q5))/($A5-COUNTA($I5:Q5)))</f>
        <v>14.363636363636365</v>
      </c>
      <c r="S5" s="7">
        <f>IF(ISERROR(($C5-SUM($I5:R5))/($A5-COUNTA($I5:R5))),0,($C5-SUM($I5:R5))/($A5-COUNTA($I5:R5)))</f>
        <v>14.363636363636362</v>
      </c>
      <c r="T5" s="7">
        <f>IF(ISERROR(($C5-SUM($I5:S5))/($A5-COUNTA($I5:S5))),0,($C5-SUM($I5:S5))/($A5-COUNTA($I5:S5)))</f>
        <v>14.363636363636363</v>
      </c>
      <c r="U5" s="7">
        <f>IF(ISERROR(($C5-SUM($I5:T5))/($A5-COUNTA($I5:T5))),0,($C5-SUM($I5:T5))/($A5-COUNTA($I5:T5)))</f>
        <v>14.363636363636362</v>
      </c>
      <c r="V5" s="7">
        <f>IF(ISERROR(($C5-SUM($I5:U5))/($A5-COUNTA($I5:U5))),0,($C5-SUM($I5:U5))/($A5-COUNTA($I5:U5)))</f>
        <v>14.363636363636362</v>
      </c>
      <c r="W5" s="7">
        <f>IF(ISERROR(($C5-SUM($I5:V5))/($A5-COUNTA($I5:V5))),0,($C5-SUM($I5:V5))/($A5-COUNTA($I5:V5)))</f>
        <v>14.363636363636362</v>
      </c>
      <c r="X5" s="7">
        <f>IF(ISERROR(($C5-SUM($I5:W5))/($A5-COUNTA($I5:W5))),0,($C5-SUM($I5:W5))/($A5-COUNTA($I5:W5)))</f>
        <v>14.363636363636362</v>
      </c>
      <c r="Y5" s="7">
        <f>IF(ISERROR(($C5-SUM($I5:X5))/($A5-COUNTA($I5:X5))),0,($C5-SUM($I5:X5))/($A5-COUNTA($I5:X5)))</f>
        <v>14.363636363636362</v>
      </c>
      <c r="Z5" s="7">
        <f>IF(ISERROR(($C5-SUM($I5:Y5))/($A5-COUNTA($I5:Y5))),0,($C5-SUM($I5:Y5))/($A5-COUNTA($I5:Y5)))</f>
        <v>14.36363636363636</v>
      </c>
      <c r="AA5" s="7">
        <f>IF(ISERROR(($C5-SUM($I5:Z5))/($A5-COUNTA($I5:Z5))),0,($C5-SUM($I5:Z5))/($A5-COUNTA($I5:Z5)))</f>
        <v>14.36363636363636</v>
      </c>
      <c r="AB5" s="7">
        <f>IF(ISERROR(($C5-SUM($I5:AA5))/($A5-COUNTA($I5:AA5))),0,($C5-SUM($I5:AA5))/($A5-COUNTA($I5:AA5)))</f>
        <v>14.36363636363636</v>
      </c>
      <c r="AC5" s="7">
        <f>IF(ISERROR(($C5-SUM($I5:AB5))/($A5-COUNTA($I5:AB5))),0,($C5-SUM($I5:AB5))/($A5-COUNTA($I5:AB5)))</f>
        <v>14.363636363636358</v>
      </c>
      <c r="AD5" s="7">
        <f>IF(ISERROR(($C5-SUM($I5:AC5))/($A5-COUNTA($I5:AC5))),0,($C5-SUM($I5:AC5))/($A5-COUNTA($I5:AC5)))</f>
        <v>14.363636363636358</v>
      </c>
      <c r="AE5" s="7">
        <f>IF(ISERROR(($C5-SUM($I5:AD5))/($A5-COUNTA($I5:AD5))),0,($C5-SUM($I5:AD5))/($A5-COUNTA($I5:AD5)))</f>
        <v>14.363636363636358</v>
      </c>
      <c r="AF5" s="7">
        <f>IF(ISERROR(($C5-SUM($I5:AE5))/($A5-COUNTA($I5:AE5))),0,($C5-SUM($I5:AE5))/($A5-COUNTA($I5:AE5)))</f>
        <v>14.363636363636356</v>
      </c>
      <c r="AG5" s="7">
        <f>IF(ISERROR(($C5-SUM($I5:AF5))/($A5-COUNTA($I5:AF5))),0,($C5-SUM($I5:AF5))/($A5-COUNTA($I5:AF5)))</f>
        <v>14.363636363636356</v>
      </c>
      <c r="AH5" s="7">
        <f>IF(ISERROR(($C5-SUM($I5:AG5))/($A5-COUNTA($I5:AG5))),0,($C5-SUM($I5:AG5))/($A5-COUNTA($I5:AG5)))</f>
        <v>14.363636363636354</v>
      </c>
      <c r="AI5" s="7">
        <f>IF(ISERROR(($C5-SUM($I5:AH5))/($A5-COUNTA($I5:AH5))),0,($C5-SUM($I5:AH5))/($A5-COUNTA($I5:AH5)))</f>
        <v>14.363636363636354</v>
      </c>
      <c r="AJ5" s="7">
        <f>IF(ISERROR(($C5-SUM($I5:AI5))/($A5-COUNTA($I5:AI5))),0,($C5-SUM($I5:AI5))/($A5-COUNTA($I5:AI5)))</f>
        <v>14.363636363636353</v>
      </c>
      <c r="AK5" s="7">
        <f>IF(ISERROR(($C5-SUM($I5:AJ5))/($A5-COUNTA($I5:AJ5))),0,($C5-SUM($I5:AJ5))/($A5-COUNTA($I5:AJ5)))</f>
        <v>14.363636363636353</v>
      </c>
      <c r="AL5" s="7">
        <f>IF(ISERROR(($C5-SUM($I5:AK5))/($A5-COUNTA($I5:AK5))),0,($C5-SUM($I5:AK5))/($A5-COUNTA($I5:AK5)))</f>
        <v>14.363636363636351</v>
      </c>
      <c r="AM5" s="7">
        <f>IF(ISERROR(($C5-SUM($I5:AL5))/($A5-COUNTA($I5:AL5))),0,($C5-SUM($I5:AL5))/($A5-COUNTA($I5:AL5)))</f>
        <v>14.363636363636349</v>
      </c>
      <c r="AN5" s="7">
        <f>IF(ISERROR(($C5-SUM($I5:AM5))/($A5-COUNTA($I5:AM5))),0,($C5-SUM($I5:AM5))/($A5-COUNTA($I5:AM5)))</f>
        <v>14.363636363636347</v>
      </c>
      <c r="AO5" s="7">
        <f>IF(ISERROR(($C5-SUM($I5:AN5))/($A5-COUNTA($I5:AN5))),0,($C5-SUM($I5:AN5))/($A5-COUNTA($I5:AN5)))</f>
        <v>14.363636363636346</v>
      </c>
      <c r="AP5" s="7">
        <f>IF(ISERROR(($C5-SUM($I5:AO5))/($A5-COUNTA($I5:AO5))),0,($C5-SUM($I5:AO5))/($A5-COUNTA($I5:AO5)))</f>
        <v>14.363636363636347</v>
      </c>
      <c r="AQ5" s="7">
        <f>IF(ISERROR(($C5-SUM($I5:AP5))/($A5-COUNTA($I5:AP5))),0,($C5-SUM($I5:AP5))/($A5-COUNTA($I5:AP5)))</f>
        <v>14.363636363636346</v>
      </c>
      <c r="AR5" s="7">
        <f>IF(ISERROR(($C5-SUM($I5:AQ5))/($A5-COUNTA($I5:AQ5))),0,($C5-SUM($I5:AQ5))/($A5-COUNTA($I5:AQ5)))</f>
        <v>14.363636363636344</v>
      </c>
      <c r="AS5" s="7">
        <f>IF(ISERROR(($C5-SUM($I5:AR5))/($A5-COUNTA($I5:AR5))),0,($C5-SUM($I5:AR5))/($A5-COUNTA($I5:AR5)))</f>
        <v>14.36363636363634</v>
      </c>
      <c r="AT5" s="7">
        <f>IF(ISERROR(($C5-SUM($I5:AS5))/($A5-COUNTA($I5:AS5))),0,($C5-SUM($I5:AS5))/($A5-COUNTA($I5:AS5)))</f>
        <v>14.363636363636337</v>
      </c>
      <c r="AU5" s="7">
        <f>IF(ISERROR(($C5-SUM($I5:AT5))/($A5-COUNTA($I5:AT5))),0,($C5-SUM($I5:AT5))/($A5-COUNTA($I5:AT5)))</f>
        <v>14.363636363636331</v>
      </c>
      <c r="AV5" s="7">
        <f>IF(ISERROR(($C5-SUM($I5:AU5))/($A5-COUNTA($I5:AU5))),0,($C5-SUM($I5:AU5))/($A5-COUNTA($I5:AU5)))</f>
        <v>14.363636363636326</v>
      </c>
      <c r="AW5" s="7">
        <f>IF(ISERROR(($C5-SUM($I5:AV5))/($A5-COUNTA($I5:AV5))),0,($C5-SUM($I5:AV5))/($A5-COUNTA($I5:AV5)))</f>
        <v>14.363636363636317</v>
      </c>
      <c r="AX5" s="7">
        <f>IF(ISERROR(($C5-SUM($I5:AW5))/($A5-COUNTA($I5:AW5))),0,($C5-SUM($I5:AW5))/($A5-COUNTA($I5:AW5)))</f>
        <v>14.363636363636306</v>
      </c>
      <c r="AY5" s="7">
        <f>IF(ISERROR(($C5-SUM($I5:AX5))/($A5-COUNTA($I5:AX5))),0,($C5-SUM($I5:AX5))/($A5-COUNTA($I5:AX5)))</f>
        <v>14.363636363636317</v>
      </c>
      <c r="AZ5" s="7">
        <f>IF(ISERROR(($C5-SUM($I5:AY5))/($A5-COUNTA($I5:AY5))),0,($C5-SUM($I5:AY5))/($A5-COUNTA($I5:AY5)))</f>
        <v>14.363636363636337</v>
      </c>
      <c r="BA5" s="7">
        <f>IF(ISERROR(($C5-SUM($I5:AZ5))/($A5-COUNTA($I5:AZ5))),0,($C5-SUM($I5:AZ5))/($A5-COUNTA($I5:AZ5)))</f>
        <v>14.363636363636317</v>
      </c>
      <c r="BB5" s="7">
        <f>IF(ISERROR(($C5-SUM($I5:BA5))/($A5-COUNTA($I5:BA5))),0,($C5-SUM($I5:BA5))/($A5-COUNTA($I5:BA5)))</f>
        <v>14.36363636363626</v>
      </c>
      <c r="BC5" s="7">
        <f>IF(ISERROR(($C5-SUM($I5:BB5))/($A5-COUNTA($I5:BB5))),0,($C5-SUM($I5:BB5))/($A5-COUNTA($I5:BB5)))</f>
        <v>0</v>
      </c>
      <c r="BD5" s="7">
        <f>IF(ISERROR(($C5-SUM($I5:BC5))/($A5-COUNTA($I5:BC5))),0,($C5-SUM($I5:BC5))/($A5-COUNTA($I5:BC5)))</f>
        <v>0</v>
      </c>
      <c r="BE5" s="7">
        <f>IF(ISERROR(($C5-SUM($I5:BD5))/($A5-COUNTA($I5:BD5))),0,($C5-SUM($I5:BD5))/($A5-COUNTA($I5:BD5)))</f>
        <v>0</v>
      </c>
      <c r="BF5" s="7">
        <f>IF(ISERROR(($C5-SUM($I5:BE5))/($A5-COUNTA($I5:BE5))),0,($C5-SUM($I5:BE5))/($A5-COUNTA($I5:BE5)))</f>
        <v>0</v>
      </c>
      <c r="BG5" s="7">
        <f>IF(ISERROR(($C5-SUM($I5:BF5))/($A5-COUNTA($I5:BF5))),0,($C5-SUM($I5:BF5))/($A5-COUNTA($I5:BF5)))</f>
        <v>0</v>
      </c>
      <c r="BH5" s="7">
        <f>IF(ISERROR(($C5-SUM($I5:BG5))/($A5-COUNTA($I5:BG5))),0,($C5-SUM($I5:BG5))/($A5-COUNTA($I5:BG5)))</f>
        <v>0</v>
      </c>
      <c r="BI5" s="7">
        <f>IF(ISERROR(($C5-SUM($I5:BH5))/($A5-COUNTA($I5:BH5))),0,($C5-SUM($I5:BH5))/($A5-COUNTA($I5:BH5)))</f>
        <v>0</v>
      </c>
    </row>
    <row r="6" spans="1:61" s="8" customFormat="1" x14ac:dyDescent="0.3">
      <c r="A6" s="8">
        <v>12</v>
      </c>
      <c r="C6" s="8">
        <v>480</v>
      </c>
      <c r="K6" s="7">
        <f>IF(ISERROR(($C6-SUM($I6:J6))/($A6-COUNTA($I6:J6))),0,($C6-SUM($I6:J6))/($A6-COUNTA($I6:J6)))</f>
        <v>40</v>
      </c>
      <c r="L6" s="7">
        <f>IF(ISERROR(($C6-SUM($I6:K6))/($A6-COUNTA($I6:K6))),0,($C6-SUM($I6:K6))/($A6-COUNTA($I6:K6)))</f>
        <v>40</v>
      </c>
      <c r="M6" s="7">
        <f>IF(ISERROR(($C6-SUM($I6:L6))/($A6-COUNTA($I6:L6))),0,($C6-SUM($I6:L6))/($A6-COUNTA($I6:L6)))</f>
        <v>40</v>
      </c>
      <c r="N6" s="7">
        <f>IF(ISERROR(($C6-SUM($I6:M6))/($A6-COUNTA($I6:M6))),0,($C6-SUM($I6:M6))/($A6-COUNTA($I6:M6)))</f>
        <v>40</v>
      </c>
      <c r="O6" s="7">
        <f>IF(ISERROR(($C6-SUM($I6:N6))/($A6-COUNTA($I6:N6))),0,($C6-SUM($I6:N6))/($A6-COUNTA($I6:N6)))</f>
        <v>40</v>
      </c>
      <c r="P6" s="7">
        <f>IF(ISERROR(($C6-SUM($I6:O6))/($A6-COUNTA($I6:O6))),0,($C6-SUM($I6:O6))/($A6-COUNTA($I6:O6)))</f>
        <v>40</v>
      </c>
      <c r="Q6" s="7">
        <f>IF(ISERROR(($C6-SUM($I6:P6))/($A6-COUNTA($I6:P6))),0,($C6-SUM($I6:P6))/($A6-COUNTA($I6:P6)))</f>
        <v>40</v>
      </c>
      <c r="R6" s="7">
        <f>IF(ISERROR(($C6-SUM($I6:Q6))/($A6-COUNTA($I6:Q6))),0,($C6-SUM($I6:Q6))/($A6-COUNTA($I6:Q6)))</f>
        <v>40</v>
      </c>
      <c r="S6" s="7">
        <f>IF(ISERROR(($C6-SUM($I6:R6))/($A6-COUNTA($I6:R6))),0,($C6-SUM($I6:R6))/($A6-COUNTA($I6:R6)))</f>
        <v>40</v>
      </c>
      <c r="T6" s="7">
        <f>IF(ISERROR(($C6-SUM($I6:S6))/($A6-COUNTA($I6:S6))),0,($C6-SUM($I6:S6))/($A6-COUNTA($I6:S6)))</f>
        <v>40</v>
      </c>
      <c r="U6" s="7">
        <f>IF(ISERROR(($C6-SUM($I6:T6))/($A6-COUNTA($I6:T6))),0,($C6-SUM($I6:T6))/($A6-COUNTA($I6:T6)))</f>
        <v>40</v>
      </c>
      <c r="V6" s="7">
        <f>IF(ISERROR(($C6-SUM($I6:U6))/($A6-COUNTA($I6:U6))),0,($C6-SUM($I6:U6))/($A6-COUNTA($I6:U6)))</f>
        <v>40</v>
      </c>
      <c r="W6" s="7">
        <f>IF(ISERROR(($C6-SUM($I6:V6))/($A6-COUNTA($I6:V6))),0,($C6-SUM($I6:V6))/($A6-COUNTA($I6:V6)))</f>
        <v>0</v>
      </c>
      <c r="X6" s="7">
        <f>IF(ISERROR(($C6-SUM($I6:W6))/($A6-COUNTA($I6:W6))),0,($C6-SUM($I6:W6))/($A6-COUNTA($I6:W6)))</f>
        <v>0</v>
      </c>
      <c r="Y6" s="7">
        <f>IF(ISERROR(($C6-SUM($I6:X6))/($A6-COUNTA($I6:X6))),0,($C6-SUM($I6:X6))/($A6-COUNTA($I6:X6)))</f>
        <v>0</v>
      </c>
      <c r="Z6" s="7">
        <f>IF(ISERROR(($C6-SUM($I6:Y6))/($A6-COUNTA($I6:Y6))),0,($C6-SUM($I6:Y6))/($A6-COUNTA($I6:Y6)))</f>
        <v>0</v>
      </c>
      <c r="AA6" s="7">
        <f>IF(ISERROR(($C6-SUM($I6:Z6))/($A6-COUNTA($I6:Z6))),0,($C6-SUM($I6:Z6))/($A6-COUNTA($I6:Z6)))</f>
        <v>0</v>
      </c>
      <c r="AB6" s="7">
        <f>IF(ISERROR(($C6-SUM($I6:AA6))/($A6-COUNTA($I6:AA6))),0,($C6-SUM($I6:AA6))/($A6-COUNTA($I6:AA6)))</f>
        <v>0</v>
      </c>
      <c r="AC6" s="7">
        <f>IF(ISERROR(($C6-SUM($I6:AB6))/($A6-COUNTA($I6:AB6))),0,($C6-SUM($I6:AB6))/($A6-COUNTA($I6:AB6)))</f>
        <v>0</v>
      </c>
      <c r="AD6" s="7">
        <f>IF(ISERROR(($C6-SUM($I6:AC6))/($A6-COUNTA($I6:AC6))),0,($C6-SUM($I6:AC6))/($A6-COUNTA($I6:AC6)))</f>
        <v>0</v>
      </c>
      <c r="AE6" s="7">
        <f>IF(ISERROR(($C6-SUM($I6:AD6))/($A6-COUNTA($I6:AD6))),0,($C6-SUM($I6:AD6))/($A6-COUNTA($I6:AD6)))</f>
        <v>0</v>
      </c>
      <c r="AF6" s="7">
        <f>IF(ISERROR(($C6-SUM($I6:AE6))/($A6-COUNTA($I6:AE6))),0,($C6-SUM($I6:AE6))/($A6-COUNTA($I6:AE6)))</f>
        <v>0</v>
      </c>
      <c r="AG6" s="7">
        <f>IF(ISERROR(($C6-SUM($I6:AF6))/($A6-COUNTA($I6:AF6))),0,($C6-SUM($I6:AF6))/($A6-COUNTA($I6:AF6)))</f>
        <v>0</v>
      </c>
      <c r="AH6" s="7">
        <f>IF(ISERROR(($C6-SUM($I6:AG6))/($A6-COUNTA($I6:AG6))),0,($C6-SUM($I6:AG6))/($A6-COUNTA($I6:AG6)))</f>
        <v>0</v>
      </c>
      <c r="AI6" s="7">
        <f>IF(ISERROR(($C6-SUM($I6:AH6))/($A6-COUNTA($I6:AH6))),0,($C6-SUM($I6:AH6))/($A6-COUNTA($I6:AH6)))</f>
        <v>0</v>
      </c>
      <c r="AJ6" s="7">
        <f>IF(ISERROR(($C6-SUM($I6:AI6))/($A6-COUNTA($I6:AI6))),0,($C6-SUM($I6:AI6))/($A6-COUNTA($I6:AI6)))</f>
        <v>0</v>
      </c>
      <c r="AK6" s="7">
        <f>IF(ISERROR(($C6-SUM($I6:AJ6))/($A6-COUNTA($I6:AJ6))),0,($C6-SUM($I6:AJ6))/($A6-COUNTA($I6:AJ6)))</f>
        <v>0</v>
      </c>
      <c r="AL6" s="7">
        <f>IF(ISERROR(($C6-SUM($I6:AK6))/($A6-COUNTA($I6:AK6))),0,($C6-SUM($I6:AK6))/($A6-COUNTA($I6:AK6)))</f>
        <v>0</v>
      </c>
      <c r="AM6" s="7">
        <f>IF(ISERROR(($C6-SUM($I6:AL6))/($A6-COUNTA($I6:AL6))),0,($C6-SUM($I6:AL6))/($A6-COUNTA($I6:AL6)))</f>
        <v>0</v>
      </c>
      <c r="AN6" s="7">
        <f>IF(ISERROR(($C6-SUM($I6:AM6))/($A6-COUNTA($I6:AM6))),0,($C6-SUM($I6:AM6))/($A6-COUNTA($I6:AM6)))</f>
        <v>0</v>
      </c>
      <c r="AO6" s="7">
        <f>IF(ISERROR(($C6-SUM($I6:AN6))/($A6-COUNTA($I6:AN6))),0,($C6-SUM($I6:AN6))/($A6-COUNTA($I6:AN6)))</f>
        <v>0</v>
      </c>
      <c r="AP6" s="7">
        <f>IF(ISERROR(($C6-SUM($I6:AO6))/($A6-COUNTA($I6:AO6))),0,($C6-SUM($I6:AO6))/($A6-COUNTA($I6:AO6)))</f>
        <v>0</v>
      </c>
      <c r="AQ6" s="7">
        <f>IF(ISERROR(($C6-SUM($I6:AP6))/($A6-COUNTA($I6:AP6))),0,($C6-SUM($I6:AP6))/($A6-COUNTA($I6:AP6)))</f>
        <v>0</v>
      </c>
      <c r="AR6" s="7">
        <f>IF(ISERROR(($C6-SUM($I6:AQ6))/($A6-COUNTA($I6:AQ6))),0,($C6-SUM($I6:AQ6))/($A6-COUNTA($I6:AQ6)))</f>
        <v>0</v>
      </c>
      <c r="AS6" s="7">
        <f>IF(ISERROR(($C6-SUM($I6:AR6))/($A6-COUNTA($I6:AR6))),0,($C6-SUM($I6:AR6))/($A6-COUNTA($I6:AR6)))</f>
        <v>0</v>
      </c>
      <c r="AT6" s="7">
        <f>IF(ISERROR(($C6-SUM($I6:AS6))/($A6-COUNTA($I6:AS6))),0,($C6-SUM($I6:AS6))/($A6-COUNTA($I6:AS6)))</f>
        <v>0</v>
      </c>
      <c r="AU6" s="7">
        <f>IF(ISERROR(($C6-SUM($I6:AT6))/($A6-COUNTA($I6:AT6))),0,($C6-SUM($I6:AT6))/($A6-COUNTA($I6:AT6)))</f>
        <v>0</v>
      </c>
      <c r="AV6" s="7">
        <f>IF(ISERROR(($C6-SUM($I6:AU6))/($A6-COUNTA($I6:AU6))),0,($C6-SUM($I6:AU6))/($A6-COUNTA($I6:AU6)))</f>
        <v>0</v>
      </c>
      <c r="AW6" s="7">
        <f>IF(ISERROR(($C6-SUM($I6:AV6))/($A6-COUNTA($I6:AV6))),0,($C6-SUM($I6:AV6))/($A6-COUNTA($I6:AV6)))</f>
        <v>0</v>
      </c>
      <c r="AX6" s="7">
        <f>IF(ISERROR(($C6-SUM($I6:AW6))/($A6-COUNTA($I6:AW6))),0,($C6-SUM($I6:AW6))/($A6-COUNTA($I6:AW6)))</f>
        <v>0</v>
      </c>
      <c r="AY6" s="7">
        <f>IF(ISERROR(($C6-SUM($I6:AX6))/($A6-COUNTA($I6:AX6))),0,($C6-SUM($I6:AX6))/($A6-COUNTA($I6:AX6)))</f>
        <v>0</v>
      </c>
      <c r="AZ6" s="7">
        <f>IF(ISERROR(($C6-SUM($I6:AY6))/($A6-COUNTA($I6:AY6))),0,($C6-SUM($I6:AY6))/($A6-COUNTA($I6:AY6)))</f>
        <v>0</v>
      </c>
      <c r="BA6" s="7">
        <f>IF(ISERROR(($C6-SUM($I6:AZ6))/($A6-COUNTA($I6:AZ6))),0,($C6-SUM($I6:AZ6))/($A6-COUNTA($I6:AZ6)))</f>
        <v>0</v>
      </c>
      <c r="BB6" s="7">
        <f>IF(ISERROR(($C6-SUM($I6:BA6))/($A6-COUNTA($I6:BA6))),0,($C6-SUM($I6:BA6))/($A6-COUNTA($I6:BA6)))</f>
        <v>0</v>
      </c>
      <c r="BC6" s="7">
        <f>IF(ISERROR(($C6-SUM($I6:BB6))/($A6-COUNTA($I6:BB6))),0,($C6-SUM($I6:BB6))/($A6-COUNTA($I6:BB6)))</f>
        <v>0</v>
      </c>
      <c r="BD6" s="7">
        <f>IF(ISERROR(($C6-SUM($I6:BC6))/($A6-COUNTA($I6:BC6))),0,($C6-SUM($I6:BC6))/($A6-COUNTA($I6:BC6)))</f>
        <v>0</v>
      </c>
      <c r="BE6" s="7">
        <f>IF(ISERROR(($C6-SUM($I6:BD6))/($A6-COUNTA($I6:BD6))),0,($C6-SUM($I6:BD6))/($A6-COUNTA($I6:BD6)))</f>
        <v>0</v>
      </c>
      <c r="BF6" s="7">
        <f>IF(ISERROR(($C6-SUM($I6:BE6))/($A6-COUNTA($I6:BE6))),0,($C6-SUM($I6:BE6))/($A6-COUNTA($I6:BE6)))</f>
        <v>0</v>
      </c>
      <c r="BG6" s="7">
        <f>IF(ISERROR(($C6-SUM($I6:BF6))/($A6-COUNTA($I6:BF6))),0,($C6-SUM($I6:BF6))/($A6-COUNTA($I6:BF6)))</f>
        <v>0</v>
      </c>
      <c r="BH6" s="7">
        <f>IF(ISERROR(($C6-SUM($I6:BG6))/($A6-COUNTA($I6:BG6))),0,($C6-SUM($I6:BG6))/($A6-COUNTA($I6:BG6)))</f>
        <v>0</v>
      </c>
      <c r="BI6" s="7">
        <f>IF(ISERROR(($C6-SUM($I6:BH6))/($A6-COUNTA($I6:BH6))),0,($C6-SUM($I6:BH6))/($A6-COUNTA($I6:BH6)))</f>
        <v>0</v>
      </c>
    </row>
    <row r="7" spans="1:61" x14ac:dyDescent="0.3">
      <c r="A7">
        <v>46</v>
      </c>
      <c r="B7">
        <v>1</v>
      </c>
      <c r="C7">
        <v>460</v>
      </c>
      <c r="D7">
        <f>SUM(I7:K7)</f>
        <v>26.090909090909093</v>
      </c>
      <c r="E7">
        <f t="shared" ref="E7:E19" si="0">C7-D7</f>
        <v>433.90909090909088</v>
      </c>
      <c r="F7" t="s">
        <v>13</v>
      </c>
      <c r="G7">
        <f>SUM(I$5:$K5)</f>
        <v>72.36363636363636</v>
      </c>
      <c r="I7" s="6">
        <v>8</v>
      </c>
      <c r="J7" s="6">
        <v>8</v>
      </c>
      <c r="K7" s="7">
        <f>IF(ISERROR(($C7-SUM($I7:J7))/($A7-COUNTA($I7:J7))),0,($C7-SUM($I7:J7))/($A7-COUNTA($I7:J7)))</f>
        <v>10.090909090909092</v>
      </c>
      <c r="L7" s="7">
        <f>IF(ISERROR(($C7-SUM($I7:K7))/($A7-COUNTA($I7:K7))),0,($C7-SUM($I7:K7))/($A7-COUNTA($I7:K7)))</f>
        <v>10.09090909090909</v>
      </c>
      <c r="M7" s="7">
        <f>IF(ISERROR(($C7-SUM($I7:L7))/($A7-COUNTA($I7:L7))),0,($C7-SUM($I7:L7))/($A7-COUNTA($I7:L7)))</f>
        <v>10.09090909090909</v>
      </c>
      <c r="N7" s="7">
        <f>IF(ISERROR(($C7-SUM($I7:M7))/($A7-COUNTA($I7:M7))),0,($C7-SUM($I7:M7))/($A7-COUNTA($I7:M7)))</f>
        <v>10.090909090909092</v>
      </c>
      <c r="O7" s="7">
        <f>IF(ISERROR(($C7-SUM($I7:N7))/($A7-COUNTA($I7:N7))),0,($C7-SUM($I7:N7))/($A7-COUNTA($I7:N7)))</f>
        <v>10.09090909090909</v>
      </c>
      <c r="P7" s="7">
        <f>IF(ISERROR(($C7-SUM($I7:O7))/($A7-COUNTA($I7:O7))),0,($C7-SUM($I7:O7))/($A7-COUNTA($I7:O7)))</f>
        <v>10.09090909090909</v>
      </c>
      <c r="Q7" s="7">
        <f>IF(ISERROR(($C7-SUM($I7:P7))/($A7-COUNTA($I7:P7))),0,($C7-SUM($I7:P7))/($A7-COUNTA($I7:P7)))</f>
        <v>10.09090909090909</v>
      </c>
      <c r="R7" s="7">
        <f>IF(ISERROR(($C7-SUM($I7:Q7))/($A7-COUNTA($I7:Q7))),0,($C7-SUM($I7:Q7))/($A7-COUNTA($I7:Q7)))</f>
        <v>10.090909090909092</v>
      </c>
      <c r="S7" s="7">
        <f>IF(ISERROR(($C7-SUM($I7:R7))/($A7-COUNTA($I7:R7))),0,($C7-SUM($I7:R7))/($A7-COUNTA($I7:R7)))</f>
        <v>10.09090909090909</v>
      </c>
      <c r="T7" s="7">
        <f>IF(ISERROR(($C7-SUM($I7:S7))/($A7-COUNTA($I7:S7))),0,($C7-SUM($I7:S7))/($A7-COUNTA($I7:S7)))</f>
        <v>10.09090909090909</v>
      </c>
      <c r="U7" s="7">
        <f>IF(ISERROR(($C7-SUM($I7:T7))/($A7-COUNTA($I7:T7))),0,($C7-SUM($I7:T7))/($A7-COUNTA($I7:T7)))</f>
        <v>10.09090909090909</v>
      </c>
      <c r="V7" s="7">
        <f>IF(ISERROR(($C7-SUM($I7:U7))/($A7-COUNTA($I7:U7))),0,($C7-SUM($I7:U7))/($A7-COUNTA($I7:U7)))</f>
        <v>10.090909090909092</v>
      </c>
      <c r="W7" s="7">
        <f>IF(ISERROR(($C7-SUM($I7:V7))/($A7-COUNTA($I7:V7))),0,($C7-SUM($I7:V7))/($A7-COUNTA($I7:V7)))</f>
        <v>10.09090909090909</v>
      </c>
      <c r="X7" s="7">
        <f>IF(ISERROR(($C7-SUM($I7:W7))/($A7-COUNTA($I7:W7))),0,($C7-SUM($I7:W7))/($A7-COUNTA($I7:W7)))</f>
        <v>10.090909090909088</v>
      </c>
      <c r="Y7" s="7">
        <f>IF(ISERROR(($C7-SUM($I7:X7))/($A7-COUNTA($I7:X7))),0,($C7-SUM($I7:X7))/($A7-COUNTA($I7:X7)))</f>
        <v>10.09090909090909</v>
      </c>
      <c r="Z7" s="7">
        <f>IF(ISERROR(($C7-SUM($I7:Y7))/($A7-COUNTA($I7:Y7))),0,($C7-SUM($I7:Y7))/($A7-COUNTA($I7:Y7)))</f>
        <v>10.09090909090909</v>
      </c>
      <c r="AA7" s="7">
        <f>IF(ISERROR(($C7-SUM($I7:Z7))/($A7-COUNTA($I7:Z7))),0,($C7-SUM($I7:Z7))/($A7-COUNTA($I7:Z7)))</f>
        <v>10.09090909090909</v>
      </c>
      <c r="AB7" s="7">
        <f>IF(ISERROR(($C7-SUM($I7:AA7))/($A7-COUNTA($I7:AA7))),0,($C7-SUM($I7:AA7))/($A7-COUNTA($I7:AA7)))</f>
        <v>10.090909090909088</v>
      </c>
      <c r="AC7" s="7">
        <f>IF(ISERROR(($C7-SUM($I7:AB7))/($A7-COUNTA($I7:AB7))),0,($C7-SUM($I7:AB7))/($A7-COUNTA($I7:AB7)))</f>
        <v>10.09090909090909</v>
      </c>
      <c r="AD7" s="7">
        <f>IF(ISERROR(($C7-SUM($I7:AC7))/($A7-COUNTA($I7:AC7))),0,($C7-SUM($I7:AC7))/($A7-COUNTA($I7:AC7)))</f>
        <v>10.090909090909088</v>
      </c>
      <c r="AE7" s="7">
        <f>IF(ISERROR(($C7-SUM($I7:AD7))/($A7-COUNTA($I7:AD7))),0,($C7-SUM($I7:AD7))/($A7-COUNTA($I7:AD7)))</f>
        <v>10.090909090909088</v>
      </c>
      <c r="AF7" s="7">
        <f>IF(ISERROR(($C7-SUM($I7:AE7))/($A7-COUNTA($I7:AE7))),0,($C7-SUM($I7:AE7))/($A7-COUNTA($I7:AE7)))</f>
        <v>10.090909090909088</v>
      </c>
      <c r="AG7" s="7">
        <f>IF(ISERROR(($C7-SUM($I7:AF7))/($A7-COUNTA($I7:AF7))),0,($C7-SUM($I7:AF7))/($A7-COUNTA($I7:AF7)))</f>
        <v>10.090909090909088</v>
      </c>
      <c r="AH7" s="7">
        <f>IF(ISERROR(($C7-SUM($I7:AG7))/($A7-COUNTA($I7:AG7))),0,($C7-SUM($I7:AG7))/($A7-COUNTA($I7:AG7)))</f>
        <v>10.090909090909088</v>
      </c>
      <c r="AI7" s="7">
        <f>IF(ISERROR(($C7-SUM($I7:AH7))/($A7-COUNTA($I7:AH7))),0,($C7-SUM($I7:AH7))/($A7-COUNTA($I7:AH7)))</f>
        <v>10.090909090909088</v>
      </c>
      <c r="AJ7" s="7">
        <f>IF(ISERROR(($C7-SUM($I7:AI7))/($A7-COUNTA($I7:AI7))),0,($C7-SUM($I7:AI7))/($A7-COUNTA($I7:AI7)))</f>
        <v>10.090909090909088</v>
      </c>
      <c r="AK7" s="7">
        <f>IF(ISERROR(($C7-SUM($I7:AJ7))/($A7-COUNTA($I7:AJ7))),0,($C7-SUM($I7:AJ7))/($A7-COUNTA($I7:AJ7)))</f>
        <v>10.09090909090909</v>
      </c>
      <c r="AL7" s="7">
        <f>IF(ISERROR(($C7-SUM($I7:AK7))/($A7-COUNTA($I7:AK7))),0,($C7-SUM($I7:AK7))/($A7-COUNTA($I7:AK7)))</f>
        <v>10.090909090909092</v>
      </c>
      <c r="AM7" s="7">
        <f>IF(ISERROR(($C7-SUM($I7:AL7))/($A7-COUNTA($I7:AL7))),0,($C7-SUM($I7:AL7))/($A7-COUNTA($I7:AL7)))</f>
        <v>10.090909090909093</v>
      </c>
      <c r="AN7" s="7">
        <f>IF(ISERROR(($C7-SUM($I7:AM7))/($A7-COUNTA($I7:AM7))),0,($C7-SUM($I7:AM7))/($A7-COUNTA($I7:AM7)))</f>
        <v>10.090909090909092</v>
      </c>
      <c r="AO7" s="7">
        <f>IF(ISERROR(($C7-SUM($I7:AN7))/($A7-COUNTA($I7:AN7))),0,($C7-SUM($I7:AN7))/($A7-COUNTA($I7:AN7)))</f>
        <v>10.090909090909093</v>
      </c>
      <c r="AP7" s="7">
        <f>IF(ISERROR(($C7-SUM($I7:AO7))/($A7-COUNTA($I7:AO7))),0,($C7-SUM($I7:AO7))/($A7-COUNTA($I7:AO7)))</f>
        <v>10.090909090909095</v>
      </c>
      <c r="AQ7" s="7">
        <f>IF(ISERROR(($C7-SUM($I7:AP7))/($A7-COUNTA($I7:AP7))),0,($C7-SUM($I7:AP7))/($A7-COUNTA($I7:AP7)))</f>
        <v>10.090909090909093</v>
      </c>
      <c r="AR7" s="7">
        <f>IF(ISERROR(($C7-SUM($I7:AQ7))/($A7-COUNTA($I7:AQ7))),0,($C7-SUM($I7:AQ7))/($A7-COUNTA($I7:AQ7)))</f>
        <v>10.090909090909092</v>
      </c>
      <c r="AS7" s="7">
        <f>IF(ISERROR(($C7-SUM($I7:AR7))/($A7-COUNTA($I7:AR7))),0,($C7-SUM($I7:AR7))/($A7-COUNTA($I7:AR7)))</f>
        <v>10.090909090909093</v>
      </c>
      <c r="AT7" s="7">
        <f>IF(ISERROR(($C7-SUM($I7:AS7))/($A7-COUNTA($I7:AS7))),0,($C7-SUM($I7:AS7))/($A7-COUNTA($I7:AS7)))</f>
        <v>10.090909090909097</v>
      </c>
      <c r="AU7" s="7">
        <f>IF(ISERROR(($C7-SUM($I7:AT7))/($A7-COUNTA($I7:AT7))),0,($C7-SUM($I7:AT7))/($A7-COUNTA($I7:AT7)))</f>
        <v>10.090909090909093</v>
      </c>
      <c r="AV7" s="7">
        <f>IF(ISERROR(($C7-SUM($I7:AU7))/($A7-COUNTA($I7:AU7))),0,($C7-SUM($I7:AU7))/($A7-COUNTA($I7:AU7)))</f>
        <v>10.09090909090909</v>
      </c>
      <c r="AW7" s="7">
        <f>IF(ISERROR(($C7-SUM($I7:AV7))/($A7-COUNTA($I7:AV7))),0,($C7-SUM($I7:AV7))/($A7-COUNTA($I7:AV7)))</f>
        <v>10.090909090909093</v>
      </c>
      <c r="AX7" s="7">
        <f>IF(ISERROR(($C7-SUM($I7:AW7))/($A7-COUNTA($I7:AW7))),0,($C7-SUM($I7:AW7))/($A7-COUNTA($I7:AW7)))</f>
        <v>10.090909090909099</v>
      </c>
      <c r="AY7" s="7">
        <f>IF(ISERROR(($C7-SUM($I7:AX7))/($A7-COUNTA($I7:AX7))),0,($C7-SUM($I7:AX7))/($A7-COUNTA($I7:AX7)))</f>
        <v>10.090909090909093</v>
      </c>
      <c r="AZ7" s="7">
        <f>IF(ISERROR(($C7-SUM($I7:AY7))/($A7-COUNTA($I7:AY7))),0,($C7-SUM($I7:AY7))/($A7-COUNTA($I7:AY7)))</f>
        <v>10.090909090909085</v>
      </c>
      <c r="BA7" s="7">
        <f>IF(ISERROR(($C7-SUM($I7:AZ7))/($A7-COUNTA($I7:AZ7))),0,($C7-SUM($I7:AZ7))/($A7-COUNTA($I7:AZ7)))</f>
        <v>10.090909090909093</v>
      </c>
      <c r="BB7" s="7">
        <f>IF(ISERROR(($C7-SUM($I7:BA7))/($A7-COUNTA($I7:BA7))),0,($C7-SUM($I7:BA7))/($A7-COUNTA($I7:BA7)))</f>
        <v>10.090909090909122</v>
      </c>
      <c r="BC7" s="7">
        <f>IF(ISERROR(($C7-SUM($I7:BB7))/($A7-COUNTA($I7:BB7))),0,($C7-SUM($I7:BB7))/($A7-COUNTA($I7:BB7)))</f>
        <v>0</v>
      </c>
      <c r="BD7" s="7">
        <f>IF(ISERROR(($C7-SUM($I7:BC7))/($A7-COUNTA($I7:BC7))),0,($C7-SUM($I7:BC7))/($A7-COUNTA($I7:BC7)))</f>
        <v>0</v>
      </c>
      <c r="BE7" s="7">
        <f>IF(ISERROR(($C7-SUM($I7:BD7))/($A7-COUNTA($I7:BD7))),0,($C7-SUM($I7:BD7))/($A7-COUNTA($I7:BD7)))</f>
        <v>0</v>
      </c>
      <c r="BF7" s="7">
        <f>IF(ISERROR(($C7-SUM($I7:BE7))/($A7-COUNTA($I7:BE7))),0,($C7-SUM($I7:BE7))/($A7-COUNTA($I7:BE7)))</f>
        <v>0</v>
      </c>
      <c r="BG7" s="7">
        <f>IF(ISERROR(($C7-SUM($I7:BF7))/($A7-COUNTA($I7:BF7))),0,($C7-SUM($I7:BF7))/($A7-COUNTA($I7:BF7)))</f>
        <v>0</v>
      </c>
      <c r="BH7" s="7">
        <f>IF(ISERROR(($C7-SUM($I7:BG7))/($A7-COUNTA($I7:BG7))),0,($C7-SUM($I7:BG7))/($A7-COUNTA($I7:BG7)))</f>
        <v>0</v>
      </c>
      <c r="BI7" s="7">
        <f>IF(ISERROR(($C7-SUM($I7:BH7))/($A7-COUNTA($I7:BH7))),0,($C7-SUM($I7:BH7))/($A7-COUNTA($I7:BH7)))</f>
        <v>0</v>
      </c>
    </row>
    <row r="8" spans="1:61" x14ac:dyDescent="0.3">
      <c r="A8">
        <v>46</v>
      </c>
      <c r="B8">
        <v>1</v>
      </c>
      <c r="C8">
        <v>460</v>
      </c>
      <c r="D8">
        <f t="shared" ref="D8:D19" si="1">SUM(I8:J8)</f>
        <v>34.5</v>
      </c>
      <c r="E8">
        <f t="shared" si="0"/>
        <v>425.5</v>
      </c>
      <c r="F8" t="s">
        <v>11</v>
      </c>
      <c r="G8">
        <f>SUM(I5:K5)</f>
        <v>72.36363636363636</v>
      </c>
      <c r="I8" s="6">
        <v>17.5</v>
      </c>
      <c r="J8" s="6">
        <v>17</v>
      </c>
      <c r="K8" s="7">
        <f>IF(ISERROR(($C8-SUM($I8:J8))/($A8-COUNTA($I8:J8))),0,($C8-SUM($I8:J8))/($A8-COUNTA($I8:J8)))</f>
        <v>9.670454545454545</v>
      </c>
      <c r="L8" s="7">
        <f>IF(ISERROR(($C8-SUM($I8:K8))/($A8-COUNTA($I8:K8))),0,($C8-SUM($I8:K8))/($A8-COUNTA($I8:K8)))</f>
        <v>9.670454545454545</v>
      </c>
      <c r="M8" s="7">
        <f>IF(ISERROR(($C8-SUM($I8:L8))/($A8-COUNTA($I8:L8))),0,($C8-SUM($I8:L8))/($A8-COUNTA($I8:L8)))</f>
        <v>9.670454545454545</v>
      </c>
      <c r="N8" s="7">
        <f>IF(ISERROR(($C8-SUM($I8:M8))/($A8-COUNTA($I8:M8))),0,($C8-SUM($I8:M8))/($A8-COUNTA($I8:M8)))</f>
        <v>9.670454545454545</v>
      </c>
      <c r="O8" s="7">
        <f>IF(ISERROR(($C8-SUM($I8:N8))/($A8-COUNTA($I8:N8))),0,($C8-SUM($I8:N8))/($A8-COUNTA($I8:N8)))</f>
        <v>9.670454545454545</v>
      </c>
      <c r="P8" s="7">
        <f>IF(ISERROR(($C8-SUM($I8:O8))/($A8-COUNTA($I8:O8))),0,($C8-SUM($I8:O8))/($A8-COUNTA($I8:O8)))</f>
        <v>9.670454545454545</v>
      </c>
      <c r="Q8" s="7">
        <f>IF(ISERROR(($C8-SUM($I8:P8))/($A8-COUNTA($I8:P8))),0,($C8-SUM($I8:P8))/($A8-COUNTA($I8:P8)))</f>
        <v>9.6704545454545467</v>
      </c>
      <c r="R8" s="7">
        <f>IF(ISERROR(($C8-SUM($I8:Q8))/($A8-COUNTA($I8:Q8))),0,($C8-SUM($I8:Q8))/($A8-COUNTA($I8:Q8)))</f>
        <v>9.670454545454545</v>
      </c>
      <c r="S8" s="7">
        <f>IF(ISERROR(($C8-SUM($I8:R8))/($A8-COUNTA($I8:R8))),0,($C8-SUM($I8:R8))/($A8-COUNTA($I8:R8)))</f>
        <v>9.670454545454545</v>
      </c>
      <c r="T8" s="7">
        <f>IF(ISERROR(($C8-SUM($I8:S8))/($A8-COUNTA($I8:S8))),0,($C8-SUM($I8:S8))/($A8-COUNTA($I8:S8)))</f>
        <v>9.670454545454545</v>
      </c>
      <c r="U8" s="7">
        <f>IF(ISERROR(($C8-SUM($I8:T8))/($A8-COUNTA($I8:T8))),0,($C8-SUM($I8:T8))/($A8-COUNTA($I8:T8)))</f>
        <v>9.670454545454545</v>
      </c>
      <c r="V8" s="7">
        <f>IF(ISERROR(($C8-SUM($I8:U8))/($A8-COUNTA($I8:U8))),0,($C8-SUM($I8:U8))/($A8-COUNTA($I8:U8)))</f>
        <v>9.670454545454545</v>
      </c>
      <c r="W8" s="7">
        <f>IF(ISERROR(($C8-SUM($I8:V8))/($A8-COUNTA($I8:V8))),0,($C8-SUM($I8:V8))/($A8-COUNTA($I8:V8)))</f>
        <v>9.6704545454545467</v>
      </c>
      <c r="X8" s="7">
        <f>IF(ISERROR(($C8-SUM($I8:W8))/($A8-COUNTA($I8:W8))),0,($C8-SUM($I8:W8))/($A8-COUNTA($I8:W8)))</f>
        <v>9.6704545454545467</v>
      </c>
      <c r="Y8" s="7">
        <f>IF(ISERROR(($C8-SUM($I8:X8))/($A8-COUNTA($I8:X8))),0,($C8-SUM($I8:X8))/($A8-COUNTA($I8:X8)))</f>
        <v>9.670454545454545</v>
      </c>
      <c r="Z8" s="7">
        <f>IF(ISERROR(($C8-SUM($I8:Y8))/($A8-COUNTA($I8:Y8))),0,($C8-SUM($I8:Y8))/($A8-COUNTA($I8:Y8)))</f>
        <v>9.6704545454545467</v>
      </c>
      <c r="AA8" s="7">
        <f>IF(ISERROR(($C8-SUM($I8:Z8))/($A8-COUNTA($I8:Z8))),0,($C8-SUM($I8:Z8))/($A8-COUNTA($I8:Z8)))</f>
        <v>9.6704545454545467</v>
      </c>
      <c r="AB8" s="7">
        <f>IF(ISERROR(($C8-SUM($I8:AA8))/($A8-COUNTA($I8:AA8))),0,($C8-SUM($I8:AA8))/($A8-COUNTA($I8:AA8)))</f>
        <v>9.6704545454545467</v>
      </c>
      <c r="AC8" s="7">
        <f>IF(ISERROR(($C8-SUM($I8:AB8))/($A8-COUNTA($I8:AB8))),0,($C8-SUM($I8:AB8))/($A8-COUNTA($I8:AB8)))</f>
        <v>9.670454545454545</v>
      </c>
      <c r="AD8" s="7">
        <f>IF(ISERROR(($C8-SUM($I8:AC8))/($A8-COUNTA($I8:AC8))),0,($C8-SUM($I8:AC8))/($A8-COUNTA($I8:AC8)))</f>
        <v>9.6704545454545467</v>
      </c>
      <c r="AE8" s="7">
        <f>IF(ISERROR(($C8-SUM($I8:AD8))/($A8-COUNTA($I8:AD8))),0,($C8-SUM($I8:AD8))/($A8-COUNTA($I8:AD8)))</f>
        <v>9.6704545454545467</v>
      </c>
      <c r="AF8" s="7">
        <f>IF(ISERROR(($C8-SUM($I8:AE8))/($A8-COUNTA($I8:AE8))),0,($C8-SUM($I8:AE8))/($A8-COUNTA($I8:AE8)))</f>
        <v>9.6704545454545467</v>
      </c>
      <c r="AG8" s="7">
        <f>IF(ISERROR(($C8-SUM($I8:AF8))/($A8-COUNTA($I8:AF8))),0,($C8-SUM($I8:AF8))/($A8-COUNTA($I8:AF8)))</f>
        <v>9.670454545454545</v>
      </c>
      <c r="AH8" s="7">
        <f>IF(ISERROR(($C8-SUM($I8:AG8))/($A8-COUNTA($I8:AG8))),0,($C8-SUM($I8:AG8))/($A8-COUNTA($I8:AG8)))</f>
        <v>9.670454545454545</v>
      </c>
      <c r="AI8" s="7">
        <f>IF(ISERROR(($C8-SUM($I8:AH8))/($A8-COUNTA($I8:AH8))),0,($C8-SUM($I8:AH8))/($A8-COUNTA($I8:AH8)))</f>
        <v>9.6704545454545432</v>
      </c>
      <c r="AJ8" s="7">
        <f>IF(ISERROR(($C8-SUM($I8:AI8))/($A8-COUNTA($I8:AI8))),0,($C8-SUM($I8:AI8))/($A8-COUNTA($I8:AI8)))</f>
        <v>9.6704545454545432</v>
      </c>
      <c r="AK8" s="7">
        <f>IF(ISERROR(($C8-SUM($I8:AJ8))/($A8-COUNTA($I8:AJ8))),0,($C8-SUM($I8:AJ8))/($A8-COUNTA($I8:AJ8)))</f>
        <v>9.6704545454545414</v>
      </c>
      <c r="AL8" s="7">
        <f>IF(ISERROR(($C8-SUM($I8:AK8))/($A8-COUNTA($I8:AK8))),0,($C8-SUM($I8:AK8))/($A8-COUNTA($I8:AK8)))</f>
        <v>9.6704545454545414</v>
      </c>
      <c r="AM8" s="7">
        <f>IF(ISERROR(($C8-SUM($I8:AL8))/($A8-COUNTA($I8:AL8))),0,($C8-SUM($I8:AL8))/($A8-COUNTA($I8:AL8)))</f>
        <v>9.6704545454545396</v>
      </c>
      <c r="AN8" s="7">
        <f>IF(ISERROR(($C8-SUM($I8:AM8))/($A8-COUNTA($I8:AM8))),0,($C8-SUM($I8:AM8))/($A8-COUNTA($I8:AM8)))</f>
        <v>9.6704545454545379</v>
      </c>
      <c r="AO8" s="7">
        <f>IF(ISERROR(($C8-SUM($I8:AN8))/($A8-COUNTA($I8:AN8))),0,($C8-SUM($I8:AN8))/($A8-COUNTA($I8:AN8)))</f>
        <v>9.6704545454545361</v>
      </c>
      <c r="AP8" s="7">
        <f>IF(ISERROR(($C8-SUM($I8:AO8))/($A8-COUNTA($I8:AO8))),0,($C8-SUM($I8:AO8))/($A8-COUNTA($I8:AO8)))</f>
        <v>9.6704545454545343</v>
      </c>
      <c r="AQ8" s="7">
        <f>IF(ISERROR(($C8-SUM($I8:AP8))/($A8-COUNTA($I8:AP8))),0,($C8-SUM($I8:AP8))/($A8-COUNTA($I8:AP8)))</f>
        <v>9.6704545454545325</v>
      </c>
      <c r="AR8" s="7">
        <f>IF(ISERROR(($C8-SUM($I8:AQ8))/($A8-COUNTA($I8:AQ8))),0,($C8-SUM($I8:AQ8))/($A8-COUNTA($I8:AQ8)))</f>
        <v>9.6704545454545343</v>
      </c>
      <c r="AS8" s="7">
        <f>IF(ISERROR(($C8-SUM($I8:AR8))/($A8-COUNTA($I8:AR8))),0,($C8-SUM($I8:AR8))/($A8-COUNTA($I8:AR8)))</f>
        <v>9.6704545454545325</v>
      </c>
      <c r="AT8" s="7">
        <f>IF(ISERROR(($C8-SUM($I8:AS8))/($A8-COUNTA($I8:AS8))),0,($C8-SUM($I8:AS8))/($A8-COUNTA($I8:AS8)))</f>
        <v>9.670454545454529</v>
      </c>
      <c r="AU8" s="7">
        <f>IF(ISERROR(($C8-SUM($I8:AT8))/($A8-COUNTA($I8:AT8))),0,($C8-SUM($I8:AT8))/($A8-COUNTA($I8:AT8)))</f>
        <v>9.6704545454545325</v>
      </c>
      <c r="AV8" s="7">
        <f>IF(ISERROR(($C8-SUM($I8:AU8))/($A8-COUNTA($I8:AU8))),0,($C8-SUM($I8:AU8))/($A8-COUNTA($I8:AU8)))</f>
        <v>9.6704545454545361</v>
      </c>
      <c r="AW8" s="7">
        <f>IF(ISERROR(($C8-SUM($I8:AV8))/($A8-COUNTA($I8:AV8))),0,($C8-SUM($I8:AV8))/($A8-COUNTA($I8:AV8)))</f>
        <v>9.6704545454545325</v>
      </c>
      <c r="AX8" s="7">
        <f>IF(ISERROR(($C8-SUM($I8:AW8))/($A8-COUNTA($I8:AW8))),0,($C8-SUM($I8:AW8))/($A8-COUNTA($I8:AW8)))</f>
        <v>9.6704545454545272</v>
      </c>
      <c r="AY8" s="7">
        <f>IF(ISERROR(($C8-SUM($I8:AX8))/($A8-COUNTA($I8:AX8))),0,($C8-SUM($I8:AX8))/($A8-COUNTA($I8:AX8)))</f>
        <v>9.6704545454545325</v>
      </c>
      <c r="AZ8" s="7">
        <f>IF(ISERROR(($C8-SUM($I8:AY8))/($A8-COUNTA($I8:AY8))),0,($C8-SUM($I8:AY8))/($A8-COUNTA($I8:AY8)))</f>
        <v>9.6704545454545414</v>
      </c>
      <c r="BA8" s="7">
        <f>IF(ISERROR(($C8-SUM($I8:AZ8))/($A8-COUNTA($I8:AZ8))),0,($C8-SUM($I8:AZ8))/($A8-COUNTA($I8:AZ8)))</f>
        <v>9.6704545454545325</v>
      </c>
      <c r="BB8" s="7">
        <f>IF(ISERROR(($C8-SUM($I8:BA8))/($A8-COUNTA($I8:BA8))),0,($C8-SUM($I8:BA8))/($A8-COUNTA($I8:BA8)))</f>
        <v>9.6704545454545041</v>
      </c>
      <c r="BC8" s="7">
        <f>IF(ISERROR(($C8-SUM($I8:BB8))/($A8-COUNTA($I8:BB8))),0,($C8-SUM($I8:BB8))/($A8-COUNTA($I8:BB8)))</f>
        <v>0</v>
      </c>
      <c r="BD8" s="7">
        <f>IF(ISERROR(($C8-SUM($I8:BC8))/($A8-COUNTA($I8:BC8))),0,($C8-SUM($I8:BC8))/($A8-COUNTA($I8:BC8)))</f>
        <v>0</v>
      </c>
      <c r="BE8" s="7">
        <f>IF(ISERROR(($C8-SUM($I8:BD8))/($A8-COUNTA($I8:BD8))),0,($C8-SUM($I8:BD8))/($A8-COUNTA($I8:BD8)))</f>
        <v>0</v>
      </c>
      <c r="BF8" s="7">
        <f>IF(ISERROR(($C8-SUM($I8:BE8))/($A8-COUNTA($I8:BE8))),0,($C8-SUM($I8:BE8))/($A8-COUNTA($I8:BE8)))</f>
        <v>0</v>
      </c>
      <c r="BG8" s="7">
        <f>IF(ISERROR(($C8-SUM($I8:BF8))/($A8-COUNTA($I8:BF8))),0,($C8-SUM($I8:BF8))/($A8-COUNTA($I8:BF8)))</f>
        <v>0</v>
      </c>
      <c r="BH8" s="7">
        <f>IF(ISERROR(($C8-SUM($I8:BG8))/($A8-COUNTA($I8:BG8))),0,($C8-SUM($I8:BG8))/($A8-COUNTA($I8:BG8)))</f>
        <v>0</v>
      </c>
      <c r="BI8" s="7">
        <f>IF(ISERROR(($C8-SUM($I8:BH8))/($A8-COUNTA($I8:BH8))),0,($C8-SUM($I8:BH8))/($A8-COUNTA($I8:BH8)))</f>
        <v>0</v>
      </c>
    </row>
    <row r="9" spans="1:61" x14ac:dyDescent="0.3">
      <c r="A9">
        <v>24</v>
      </c>
      <c r="B9">
        <v>32</v>
      </c>
      <c r="C9">
        <v>960</v>
      </c>
      <c r="D9">
        <f t="shared" si="1"/>
        <v>16</v>
      </c>
      <c r="E9">
        <f>C9-D9</f>
        <v>944</v>
      </c>
      <c r="F9" t="s">
        <v>15</v>
      </c>
      <c r="H9">
        <f>SUM(I9:BB9)</f>
        <v>960</v>
      </c>
      <c r="I9" s="6">
        <v>8</v>
      </c>
      <c r="J9" s="6">
        <v>8</v>
      </c>
      <c r="K9" s="7">
        <f>IF(ISERROR(($C9-SUM($I9:J9))/($A9-COUNTA($I9:J9))),0,($C9-SUM($I9:J9))/($A9-COUNTA($I9:J9)))</f>
        <v>42.909090909090907</v>
      </c>
      <c r="L9" s="7">
        <f>IF(ISERROR(($C9-SUM($I9:K9))/($A9-COUNTA($I9:K9))),0,($C9-SUM($I9:K9))/($A9-COUNTA($I9:K9)))</f>
        <v>42.909090909090914</v>
      </c>
      <c r="M9" s="7">
        <f>IF(ISERROR(($C9-SUM($I9:L9))/($A9-COUNTA($I9:L9))),0,($C9-SUM($I9:L9))/($A9-COUNTA($I9:L9)))</f>
        <v>42.909090909090914</v>
      </c>
      <c r="N9" s="7">
        <f>IF(ISERROR(($C9-SUM($I9:M9))/($A9-COUNTA($I9:M9))),0,($C9-SUM($I9:M9))/($A9-COUNTA($I9:M9)))</f>
        <v>42.909090909090907</v>
      </c>
      <c r="O9" s="7">
        <f>IF(ISERROR(($C9-SUM($I9:N9))/($A9-COUNTA($I9:N9))),0,($C9-SUM($I9:N9))/($A9-COUNTA($I9:N9)))</f>
        <v>42.909090909090907</v>
      </c>
      <c r="P9" s="7">
        <f>IF(ISERROR(($C9-SUM($I9:O9))/($A9-COUNTA($I9:O9))),0,($C9-SUM($I9:O9))/($A9-COUNTA($I9:O9)))</f>
        <v>42.909090909090914</v>
      </c>
      <c r="Q9" s="7">
        <f>IF(ISERROR(($C9-SUM($I9:P9))/($A9-COUNTA($I9:P9))),0,($C9-SUM($I9:P9))/($A9-COUNTA($I9:P9)))</f>
        <v>42.909090909090907</v>
      </c>
      <c r="R9" s="7">
        <f>IF(ISERROR(($C9-SUM($I9:Q9))/($A9-COUNTA($I9:Q9))),0,($C9-SUM($I9:Q9))/($A9-COUNTA($I9:Q9)))</f>
        <v>42.909090909090907</v>
      </c>
      <c r="S9" s="7">
        <f>IF(ISERROR(($C9-SUM($I9:R9))/($A9-COUNTA($I9:R9))),0,($C9-SUM($I9:R9))/($A9-COUNTA($I9:R9)))</f>
        <v>42.909090909090914</v>
      </c>
      <c r="T9" s="7">
        <f>IF(ISERROR(($C9-SUM($I9:S9))/($A9-COUNTA($I9:S9))),0,($C9-SUM($I9:S9))/($A9-COUNTA($I9:S9)))</f>
        <v>42.909090909090907</v>
      </c>
      <c r="U9" s="7">
        <f>IF(ISERROR(($C9-SUM($I9:T9))/($A9-COUNTA($I9:T9))),0,($C9-SUM($I9:T9))/($A9-COUNTA($I9:T9)))</f>
        <v>42.909090909090907</v>
      </c>
      <c r="V9" s="7">
        <f>IF(ISERROR(($C9-SUM($I9:U9))/($A9-COUNTA($I9:U9))),0,($C9-SUM($I9:U9))/($A9-COUNTA($I9:U9)))</f>
        <v>42.909090909090907</v>
      </c>
      <c r="W9" s="7">
        <f>IF(ISERROR(($C9-SUM($I9:V9))/($A9-COUNTA($I9:V9))),0,($C9-SUM($I9:V9))/($A9-COUNTA($I9:V9)))</f>
        <v>42.909090909090914</v>
      </c>
      <c r="X9" s="7">
        <f>IF(ISERROR(($C9-SUM($I9:W9))/($A9-COUNTA($I9:W9))),0,($C9-SUM($I9:W9))/($A9-COUNTA($I9:W9)))</f>
        <v>42.909090909090914</v>
      </c>
      <c r="Y9" s="7">
        <f>IF(ISERROR(($C9-SUM($I9:X9))/($A9-COUNTA($I9:X9))),0,($C9-SUM($I9:X9))/($A9-COUNTA($I9:X9)))</f>
        <v>42.909090909090921</v>
      </c>
      <c r="Z9" s="7">
        <f>IF(ISERROR(($C9-SUM($I9:Y9))/($A9-COUNTA($I9:Y9))),0,($C9-SUM($I9:Y9))/($A9-COUNTA($I9:Y9)))</f>
        <v>42.909090909090928</v>
      </c>
      <c r="AA9" s="7">
        <f>IF(ISERROR(($C9-SUM($I9:Z9))/($A9-COUNTA($I9:Z9))),0,($C9-SUM($I9:Z9))/($A9-COUNTA($I9:Z9)))</f>
        <v>42.909090909090935</v>
      </c>
      <c r="AB9" s="7">
        <f>IF(ISERROR(($C9-SUM($I9:AA9))/($A9-COUNTA($I9:AA9))),0,($C9-SUM($I9:AA9))/($A9-COUNTA($I9:AA9)))</f>
        <v>42.909090909090949</v>
      </c>
      <c r="AC9" s="7">
        <f>IF(ISERROR(($C9-SUM($I9:AB9))/($A9-COUNTA($I9:AB9))),0,($C9-SUM($I9:AB9))/($A9-COUNTA($I9:AB9)))</f>
        <v>42.909090909090935</v>
      </c>
      <c r="AD9" s="7">
        <f>IF(ISERROR(($C9-SUM($I9:AC9))/($A9-COUNTA($I9:AC9))),0,($C9-SUM($I9:AC9))/($A9-COUNTA($I9:AC9)))</f>
        <v>42.909090909090914</v>
      </c>
      <c r="AE9" s="7">
        <f>IF(ISERROR(($C9-SUM($I9:AD9))/($A9-COUNTA($I9:AD9))),0,($C9-SUM($I9:AD9))/($A9-COUNTA($I9:AD9)))</f>
        <v>42.909090909090935</v>
      </c>
      <c r="AF9" s="7">
        <f>IF(ISERROR(($C9-SUM($I9:AE9))/($A9-COUNTA($I9:AE9))),0,($C9-SUM($I9:AE9))/($A9-COUNTA($I9:AE9)))</f>
        <v>42.909090909090992</v>
      </c>
      <c r="AG9" s="7">
        <f>IF(ISERROR(($C9-SUM($I9:AF9))/($A9-COUNTA($I9:AF9))),0,($C9-SUM($I9:AF9))/($A9-COUNTA($I9:AF9)))</f>
        <v>0</v>
      </c>
      <c r="AH9" s="7">
        <f>IF(ISERROR(($C9-SUM($I9:AG9))/($A9-COUNTA($I9:AG9))),0,($C9-SUM($I9:AG9))/($A9-COUNTA($I9:AG9)))</f>
        <v>0</v>
      </c>
      <c r="AI9" s="7">
        <f>IF(ISERROR(($C9-SUM($I9:AH9))/($A9-COUNTA($I9:AH9))),0,($C9-SUM($I9:AH9))/($A9-COUNTA($I9:AH9)))</f>
        <v>0</v>
      </c>
      <c r="AJ9" s="7">
        <f>IF(ISERROR(($C9-SUM($I9:AI9))/($A9-COUNTA($I9:AI9))),0,($C9-SUM($I9:AI9))/($A9-COUNTA($I9:AI9)))</f>
        <v>0</v>
      </c>
      <c r="AK9" s="7">
        <f>IF(ISERROR(($C9-SUM($I9:AJ9))/($A9-COUNTA($I9:AJ9))),0,($C9-SUM($I9:AJ9))/($A9-COUNTA($I9:AJ9)))</f>
        <v>0</v>
      </c>
      <c r="AL9" s="7">
        <f>IF(ISERROR(($C9-SUM($I9:AK9))/($A9-COUNTA($I9:AK9))),0,($C9-SUM($I9:AK9))/($A9-COUNTA($I9:AK9)))</f>
        <v>0</v>
      </c>
      <c r="AM9" s="7">
        <f>IF(ISERROR(($C9-SUM($I9:AL9))/($A9-COUNTA($I9:AL9))),0,($C9-SUM($I9:AL9))/($A9-COUNTA($I9:AL9)))</f>
        <v>0</v>
      </c>
      <c r="AN9" s="7">
        <f>IF(ISERROR(($C9-SUM($I9:AM9))/($A9-COUNTA($I9:AM9))),0,($C9-SUM($I9:AM9))/($A9-COUNTA($I9:AM9)))</f>
        <v>0</v>
      </c>
      <c r="AO9" s="7">
        <f>IF(ISERROR(($C9-SUM($I9:AN9))/($A9-COUNTA($I9:AN9))),0,($C9-SUM($I9:AN9))/($A9-COUNTA($I9:AN9)))</f>
        <v>0</v>
      </c>
      <c r="AP9" s="7">
        <f>IF(ISERROR(($C9-SUM($I9:AO9))/($A9-COUNTA($I9:AO9))),0,($C9-SUM($I9:AO9))/($A9-COUNTA($I9:AO9)))</f>
        <v>0</v>
      </c>
      <c r="AQ9" s="7">
        <f>IF(ISERROR(($C9-SUM($I9:AP9))/($A9-COUNTA($I9:AP9))),0,($C9-SUM($I9:AP9))/($A9-COUNTA($I9:AP9)))</f>
        <v>0</v>
      </c>
      <c r="AR9" s="7">
        <f>IF(ISERROR(($C9-SUM($I9:AQ9))/($A9-COUNTA($I9:AQ9))),0,($C9-SUM($I9:AQ9))/($A9-COUNTA($I9:AQ9)))</f>
        <v>0</v>
      </c>
      <c r="AS9" s="7">
        <f>IF(ISERROR(($C9-SUM($I9:AR9))/($A9-COUNTA($I9:AR9))),0,($C9-SUM($I9:AR9))/($A9-COUNTA($I9:AR9)))</f>
        <v>0</v>
      </c>
      <c r="AT9" s="7">
        <f>IF(ISERROR(($C9-SUM($I9:AS9))/($A9-COUNTA($I9:AS9))),0,($C9-SUM($I9:AS9))/($A9-COUNTA($I9:AS9)))</f>
        <v>0</v>
      </c>
      <c r="AU9" s="7">
        <f>IF(ISERROR(($C9-SUM($I9:AT9))/($A9-COUNTA($I9:AT9))),0,($C9-SUM($I9:AT9))/($A9-COUNTA($I9:AT9)))</f>
        <v>0</v>
      </c>
      <c r="AV9" s="7">
        <f>IF(ISERROR(($C9-SUM($I9:AU9))/($A9-COUNTA($I9:AU9))),0,($C9-SUM($I9:AU9))/($A9-COUNTA($I9:AU9)))</f>
        <v>0</v>
      </c>
      <c r="AW9" s="7">
        <f>IF(ISERROR(($C9-SUM($I9:AV9))/($A9-COUNTA($I9:AV9))),0,($C9-SUM($I9:AV9))/($A9-COUNTA($I9:AV9)))</f>
        <v>0</v>
      </c>
      <c r="AX9" s="7">
        <f>IF(ISERROR(($C9-SUM($I9:AW9))/($A9-COUNTA($I9:AW9))),0,($C9-SUM($I9:AW9))/($A9-COUNTA($I9:AW9)))</f>
        <v>0</v>
      </c>
      <c r="AY9" s="7">
        <f>IF(ISERROR(($C9-SUM($I9:AX9))/($A9-COUNTA($I9:AX9))),0,($C9-SUM($I9:AX9))/($A9-COUNTA($I9:AX9)))</f>
        <v>0</v>
      </c>
      <c r="AZ9" s="7">
        <f>IF(ISERROR(($C9-SUM($I9:AY9))/($A9-COUNTA($I9:AY9))),0,($C9-SUM($I9:AY9))/($A9-COUNTA($I9:AY9)))</f>
        <v>0</v>
      </c>
      <c r="BA9" s="7">
        <f>IF(ISERROR(($C9-SUM($I9:AZ9))/($A9-COUNTA($I9:AZ9))),0,($C9-SUM($I9:AZ9))/($A9-COUNTA($I9:AZ9)))</f>
        <v>0</v>
      </c>
      <c r="BB9" s="7">
        <f>IF(ISERROR(($C9-SUM($I9:BA9))/($A9-COUNTA($I9:BA9))),0,($C9-SUM($I9:BA9))/($A9-COUNTA($I9:BA9)))</f>
        <v>0</v>
      </c>
      <c r="BC9" s="7">
        <f>IF(ISERROR(($C9-SUM($I9:BB9))/($A9-COUNTA($I9:BB9))),0,($C9-SUM($I9:BB9))/($A9-COUNTA($I9:BB9)))</f>
        <v>0</v>
      </c>
      <c r="BD9" s="7">
        <f>IF(ISERROR(($C9-SUM($I9:BC9))/($A9-COUNTA($I9:BC9))),0,($C9-SUM($I9:BC9))/($A9-COUNTA($I9:BC9)))</f>
        <v>0</v>
      </c>
      <c r="BE9" s="7">
        <f>IF(ISERROR(($C9-SUM($I9:BD9))/($A9-COUNTA($I9:BD9))),0,($C9-SUM($I9:BD9))/($A9-COUNTA($I9:BD9)))</f>
        <v>0</v>
      </c>
      <c r="BF9" s="7">
        <f>IF(ISERROR(($C9-SUM($I9:BE9))/($A9-COUNTA($I9:BE9))),0,($C9-SUM($I9:BE9))/($A9-COUNTA($I9:BE9)))</f>
        <v>0</v>
      </c>
      <c r="BG9" s="7">
        <f>IF(ISERROR(($C9-SUM($I9:BF9))/($A9-COUNTA($I9:BF9))),0,($C9-SUM($I9:BF9))/($A9-COUNTA($I9:BF9)))</f>
        <v>0</v>
      </c>
      <c r="BH9" s="7">
        <f>IF(ISERROR(($C9-SUM($I9:BG9))/($A9-COUNTA($I9:BG9))),0,($C9-SUM($I9:BG9))/($A9-COUNTA($I9:BG9)))</f>
        <v>0</v>
      </c>
      <c r="BI9" s="7">
        <f>IF(ISERROR(($C9-SUM($I9:BH9))/($A9-COUNTA($I9:BH9))),0,($C9-SUM($I9:BH9))/($A9-COUNTA($I9:BH9)))</f>
        <v>0</v>
      </c>
    </row>
    <row r="10" spans="1:61" x14ac:dyDescent="0.3">
      <c r="A10">
        <v>16</v>
      </c>
      <c r="B10">
        <v>21</v>
      </c>
      <c r="C10">
        <v>640</v>
      </c>
      <c r="D10">
        <f>SUM(I10:J10)</f>
        <v>48.5</v>
      </c>
      <c r="E10">
        <f t="shared" si="0"/>
        <v>591.5</v>
      </c>
      <c r="F10" t="s">
        <v>9</v>
      </c>
      <c r="I10" s="6">
        <v>24.5</v>
      </c>
      <c r="J10" s="6">
        <v>24</v>
      </c>
      <c r="K10" s="7">
        <f>IF(ISERROR(($C10-SUM($I10:J10))/($A10-COUNTA($I10:J10))),0,($C10-SUM($I10:J10))/($A10-COUNTA($I10:J10)))</f>
        <v>42.25</v>
      </c>
      <c r="L10" s="7">
        <f>IF(ISERROR(($C10-SUM($I10:K10))/($A10-COUNTA($I10:K10))),0,($C10-SUM($I10:K10))/($A10-COUNTA($I10:K10)))</f>
        <v>42.25</v>
      </c>
      <c r="M10" s="7">
        <f>IF(ISERROR(($C10-SUM($I10:L10))/($A10-COUNTA($I10:L10))),0,($C10-SUM($I10:L10))/($A10-COUNTA($I10:L10)))</f>
        <v>42.25</v>
      </c>
      <c r="N10" s="7">
        <f>IF(ISERROR(($C10-SUM($I10:M10))/($A10-COUNTA($I10:M10))),0,($C10-SUM($I10:M10))/($A10-COUNTA($I10:M10)))</f>
        <v>42.25</v>
      </c>
      <c r="O10" s="7">
        <f>IF(ISERROR(($C10-SUM($I10:N10))/($A10-COUNTA($I10:N10))),0,($C10-SUM($I10:N10))/($A10-COUNTA($I10:N10)))</f>
        <v>42.25</v>
      </c>
      <c r="P10" s="7">
        <f>IF(ISERROR(($C10-SUM($I10:O10))/($A10-COUNTA($I10:O10))),0,($C10-SUM($I10:O10))/($A10-COUNTA($I10:O10)))</f>
        <v>42.25</v>
      </c>
      <c r="Q10" s="7">
        <f>IF(ISERROR(($C10-SUM($I10:P10))/($A10-COUNTA($I10:P10))),0,($C10-SUM($I10:P10))/($A10-COUNTA($I10:P10)))</f>
        <v>42.25</v>
      </c>
      <c r="R10" s="7">
        <f>IF(ISERROR(($C10-SUM($I10:Q10))/($A10-COUNTA($I10:Q10))),0,($C10-SUM($I10:Q10))/($A10-COUNTA($I10:Q10)))</f>
        <v>42.25</v>
      </c>
      <c r="S10" s="7">
        <f>IF(ISERROR(($C10-SUM($I10:R10))/($A10-COUNTA($I10:R10))),0,($C10-SUM($I10:R10))/($A10-COUNTA($I10:R10)))</f>
        <v>42.25</v>
      </c>
      <c r="T10" s="7">
        <f>IF(ISERROR(($C10-SUM($I10:S10))/($A10-COUNTA($I10:S10))),0,($C10-SUM($I10:S10))/($A10-COUNTA($I10:S10)))</f>
        <v>42.25</v>
      </c>
      <c r="U10" s="7">
        <f>IF(ISERROR(($C10-SUM($I10:T10))/($A10-COUNTA($I10:T10))),0,($C10-SUM($I10:T10))/($A10-COUNTA($I10:T10)))</f>
        <v>42.25</v>
      </c>
      <c r="V10" s="7">
        <f>IF(ISERROR(($C10-SUM($I10:U10))/($A10-COUNTA($I10:U10))),0,($C10-SUM($I10:U10))/($A10-COUNTA($I10:U10)))</f>
        <v>42.25</v>
      </c>
      <c r="W10" s="7">
        <f>IF(ISERROR(($C10-SUM($I10:V10))/($A10-COUNTA($I10:V10))),0,($C10-SUM($I10:V10))/($A10-COUNTA($I10:V10)))</f>
        <v>42.25</v>
      </c>
      <c r="X10" s="7">
        <f>IF(ISERROR(($C10-SUM($I10:W10))/($A10-COUNTA($I10:W10))),0,($C10-SUM($I10:W10))/($A10-COUNTA($I10:W10)))</f>
        <v>42.25</v>
      </c>
      <c r="Y10" s="7">
        <f>IF(ISERROR(($C10-SUM($I10:X10))/($A10-COUNTA($I10:X10))),0,($C10-SUM($I10:X10))/($A10-COUNTA($I10:X10)))</f>
        <v>0</v>
      </c>
      <c r="Z10" s="7">
        <f>IF(ISERROR(($C10-SUM($I10:Y10))/($A10-COUNTA($I10:Y10))),0,($C10-SUM($I10:Y10))/($A10-COUNTA($I10:Y10)))</f>
        <v>0</v>
      </c>
      <c r="AA10" s="7">
        <f>IF(ISERROR(($C10-SUM($I10:Z10))/($A10-COUNTA($I10:Z10))),0,($C10-SUM($I10:Z10))/($A10-COUNTA($I10:Z10)))</f>
        <v>0</v>
      </c>
      <c r="AB10" s="7">
        <f>IF(ISERROR(($C10-SUM($I10:AA10))/($A10-COUNTA($I10:AA10))),0,($C10-SUM($I10:AA10))/($A10-COUNTA($I10:AA10)))</f>
        <v>0</v>
      </c>
      <c r="AC10" s="7">
        <f>IF(ISERROR(($C10-SUM($I10:AB10))/($A10-COUNTA($I10:AB10))),0,($C10-SUM($I10:AB10))/($A10-COUNTA($I10:AB10)))</f>
        <v>0</v>
      </c>
      <c r="AD10" s="7">
        <f>IF(ISERROR(($C10-SUM($I10:AC10))/($A10-COUNTA($I10:AC10))),0,($C10-SUM($I10:AC10))/($A10-COUNTA($I10:AC10)))</f>
        <v>0</v>
      </c>
      <c r="AE10" s="7">
        <f>IF(ISERROR(($C10-SUM($I10:AD10))/($A10-COUNTA($I10:AD10))),0,($C10-SUM($I10:AD10))/($A10-COUNTA($I10:AD10)))</f>
        <v>0</v>
      </c>
      <c r="AF10" s="7">
        <f>IF(ISERROR(($C10-SUM($I10:AE10))/($A10-COUNTA($I10:AE10))),0,($C10-SUM($I10:AE10))/($A10-COUNTA($I10:AE10)))</f>
        <v>0</v>
      </c>
      <c r="AG10" s="7">
        <f>IF(ISERROR(($C10-SUM($I10:AF10))/($A10-COUNTA($I10:AF10))),0,($C10-SUM($I10:AF10))/($A10-COUNTA($I10:AF10)))</f>
        <v>0</v>
      </c>
      <c r="AH10" s="7">
        <f>IF(ISERROR(($C10-SUM($I10:AG10))/($A10-COUNTA($I10:AG10))),0,($C10-SUM($I10:AG10))/($A10-COUNTA($I10:AG10)))</f>
        <v>0</v>
      </c>
      <c r="AI10" s="7">
        <f>IF(ISERROR(($C10-SUM($I10:AH10))/($A10-COUNTA($I10:AH10))),0,($C10-SUM($I10:AH10))/($A10-COUNTA($I10:AH10)))</f>
        <v>0</v>
      </c>
      <c r="AJ10" s="7">
        <f>IF(ISERROR(($C10-SUM($I10:AI10))/($A10-COUNTA($I10:AI10))),0,($C10-SUM($I10:AI10))/($A10-COUNTA($I10:AI10)))</f>
        <v>0</v>
      </c>
      <c r="AK10" s="7">
        <f>IF(ISERROR(($C10-SUM($I10:AJ10))/($A10-COUNTA($I10:AJ10))),0,($C10-SUM($I10:AJ10))/($A10-COUNTA($I10:AJ10)))</f>
        <v>0</v>
      </c>
      <c r="AL10" s="7">
        <f>IF(ISERROR(($C10-SUM($I10:AK10))/($A10-COUNTA($I10:AK10))),0,($C10-SUM($I10:AK10))/($A10-COUNTA($I10:AK10)))</f>
        <v>0</v>
      </c>
      <c r="AM10" s="7">
        <f>IF(ISERROR(($C10-SUM($I10:AL10))/($A10-COUNTA($I10:AL10))),0,($C10-SUM($I10:AL10))/($A10-COUNTA($I10:AL10)))</f>
        <v>0</v>
      </c>
      <c r="AN10" s="7">
        <f>IF(ISERROR(($C10-SUM($I10:AM10))/($A10-COUNTA($I10:AM10))),0,($C10-SUM($I10:AM10))/($A10-COUNTA($I10:AM10)))</f>
        <v>0</v>
      </c>
      <c r="AO10" s="7">
        <f>IF(ISERROR(($C10-SUM($I10:AN10))/($A10-COUNTA($I10:AN10))),0,($C10-SUM($I10:AN10))/($A10-COUNTA($I10:AN10)))</f>
        <v>0</v>
      </c>
      <c r="AP10" s="7">
        <f>IF(ISERROR(($C10-SUM($I10:AO10))/($A10-COUNTA($I10:AO10))),0,($C10-SUM($I10:AO10))/($A10-COUNTA($I10:AO10)))</f>
        <v>0</v>
      </c>
      <c r="AQ10" s="7">
        <f>IF(ISERROR(($C10-SUM($I10:AP10))/($A10-COUNTA($I10:AP10))),0,($C10-SUM($I10:AP10))/($A10-COUNTA($I10:AP10)))</f>
        <v>0</v>
      </c>
      <c r="AR10" s="7">
        <f>IF(ISERROR(($C10-SUM($I10:AQ10))/($A10-COUNTA($I10:AQ10))),0,($C10-SUM($I10:AQ10))/($A10-COUNTA($I10:AQ10)))</f>
        <v>0</v>
      </c>
      <c r="AS10" s="7">
        <f>IF(ISERROR(($C10-SUM($I10:AR10))/($A10-COUNTA($I10:AR10))),0,($C10-SUM($I10:AR10))/($A10-COUNTA($I10:AR10)))</f>
        <v>0</v>
      </c>
      <c r="AT10" s="7">
        <f>IF(ISERROR(($C10-SUM($I10:AS10))/($A10-COUNTA($I10:AS10))),0,($C10-SUM($I10:AS10))/($A10-COUNTA($I10:AS10)))</f>
        <v>0</v>
      </c>
      <c r="AU10" s="7">
        <f>IF(ISERROR(($C10-SUM($I10:AT10))/($A10-COUNTA($I10:AT10))),0,($C10-SUM($I10:AT10))/($A10-COUNTA($I10:AT10)))</f>
        <v>0</v>
      </c>
      <c r="AV10" s="7">
        <f>IF(ISERROR(($C10-SUM($I10:AU10))/($A10-COUNTA($I10:AU10))),0,($C10-SUM($I10:AU10))/($A10-COUNTA($I10:AU10)))</f>
        <v>0</v>
      </c>
      <c r="AW10" s="7">
        <f>IF(ISERROR(($C10-SUM($I10:AV10))/($A10-COUNTA($I10:AV10))),0,($C10-SUM($I10:AV10))/($A10-COUNTA($I10:AV10)))</f>
        <v>0</v>
      </c>
      <c r="AX10" s="7">
        <f>IF(ISERROR(($C10-SUM($I10:AW10))/($A10-COUNTA($I10:AW10))),0,($C10-SUM($I10:AW10))/($A10-COUNTA($I10:AW10)))</f>
        <v>0</v>
      </c>
      <c r="AY10" s="7">
        <f>IF(ISERROR(($C10-SUM($I10:AX10))/($A10-COUNTA($I10:AX10))),0,($C10-SUM($I10:AX10))/($A10-COUNTA($I10:AX10)))</f>
        <v>0</v>
      </c>
      <c r="AZ10" s="7">
        <f>IF(ISERROR(($C10-SUM($I10:AY10))/($A10-COUNTA($I10:AY10))),0,($C10-SUM($I10:AY10))/($A10-COUNTA($I10:AY10)))</f>
        <v>0</v>
      </c>
      <c r="BA10" s="7">
        <f>IF(ISERROR(($C10-SUM($I10:AZ10))/($A10-COUNTA($I10:AZ10))),0,($C10-SUM($I10:AZ10))/($A10-COUNTA($I10:AZ10)))</f>
        <v>0</v>
      </c>
      <c r="BB10" s="7">
        <f>IF(ISERROR(($C10-SUM($I10:BA10))/($A10-COUNTA($I10:BA10))),0,($C10-SUM($I10:BA10))/($A10-COUNTA($I10:BA10)))</f>
        <v>0</v>
      </c>
      <c r="BC10" s="7">
        <f>IF(ISERROR(($C10-SUM($I10:BB10))/($A10-COUNTA($I10:BB10))),0,($C10-SUM($I10:BB10))/($A10-COUNTA($I10:BB10)))</f>
        <v>0</v>
      </c>
      <c r="BD10" s="7">
        <f>IF(ISERROR(($C10-SUM($I10:BC10))/($A10-COUNTA($I10:BC10))),0,($C10-SUM($I10:BC10))/($A10-COUNTA($I10:BC10)))</f>
        <v>0</v>
      </c>
      <c r="BE10" s="7">
        <f>IF(ISERROR(($C10-SUM($I10:BD10))/($A10-COUNTA($I10:BD10))),0,($C10-SUM($I10:BD10))/($A10-COUNTA($I10:BD10)))</f>
        <v>0</v>
      </c>
      <c r="BF10" s="7">
        <f>IF(ISERROR(($C10-SUM($I10:BE10))/($A10-COUNTA($I10:BE10))),0,($C10-SUM($I10:BE10))/($A10-COUNTA($I10:BE10)))</f>
        <v>0</v>
      </c>
      <c r="BG10" s="7">
        <f>IF(ISERROR(($C10-SUM($I10:BF10))/($A10-COUNTA($I10:BF10))),0,($C10-SUM($I10:BF10))/($A10-COUNTA($I10:BF10)))</f>
        <v>0</v>
      </c>
      <c r="BH10" s="7">
        <f>IF(ISERROR(($C10-SUM($I10:BG10))/($A10-COUNTA($I10:BG10))),0,($C10-SUM($I10:BG10))/($A10-COUNTA($I10:BG10)))</f>
        <v>0</v>
      </c>
      <c r="BI10" s="7">
        <f>IF(ISERROR(($C10-SUM($I10:BH10))/($A10-COUNTA($I10:BH10))),0,($C10-SUM($I10:BH10))/($A10-COUNTA($I10:BH10)))</f>
        <v>0</v>
      </c>
    </row>
    <row r="11" spans="1:61" x14ac:dyDescent="0.3">
      <c r="A11">
        <v>12</v>
      </c>
      <c r="B11">
        <v>20</v>
      </c>
      <c r="C11">
        <v>480</v>
      </c>
      <c r="D11">
        <f t="shared" si="1"/>
        <v>35</v>
      </c>
      <c r="E11">
        <f t="shared" si="0"/>
        <v>445</v>
      </c>
      <c r="F11" t="s">
        <v>8</v>
      </c>
      <c r="I11" s="6">
        <v>17.5</v>
      </c>
      <c r="J11" s="6">
        <v>17.5</v>
      </c>
      <c r="K11" s="7">
        <f>IF(ISERROR(($C11-SUM($I11:J11))/($A11-COUNTA($I11:J11))),0,($C11-SUM($I11:J11))/($A11-COUNTA($I11:J11)))</f>
        <v>44.5</v>
      </c>
      <c r="L11" s="7">
        <f>IF(ISERROR(($C11-SUM($I11:K11))/($A11-COUNTA($I11:K11))),0,($C11-SUM($I11:K11))/($A11-COUNTA($I11:K11)))</f>
        <v>44.5</v>
      </c>
      <c r="M11" s="7">
        <f>IF(ISERROR(($C11-SUM($I11:L11))/($A11-COUNTA($I11:L11))),0,($C11-SUM($I11:L11))/($A11-COUNTA($I11:L11)))</f>
        <v>44.5</v>
      </c>
      <c r="N11" s="7">
        <f>IF(ISERROR(($C11-SUM($I11:M11))/($A11-COUNTA($I11:M11))),0,($C11-SUM($I11:M11))/($A11-COUNTA($I11:M11)))</f>
        <v>44.5</v>
      </c>
      <c r="O11" s="7">
        <f>IF(ISERROR(($C11-SUM($I11:N11))/($A11-COUNTA($I11:N11))),0,($C11-SUM($I11:N11))/($A11-COUNTA($I11:N11)))</f>
        <v>44.5</v>
      </c>
      <c r="P11" s="7">
        <f>IF(ISERROR(($C11-SUM($I11:O11))/($A11-COUNTA($I11:O11))),0,($C11-SUM($I11:O11))/($A11-COUNTA($I11:O11)))</f>
        <v>44.5</v>
      </c>
      <c r="Q11" s="7">
        <f>IF(ISERROR(($C11-SUM($I11:P11))/($A11-COUNTA($I11:P11))),0,($C11-SUM($I11:P11))/($A11-COUNTA($I11:P11)))</f>
        <v>44.5</v>
      </c>
      <c r="R11" s="7">
        <f>IF(ISERROR(($C11-SUM($I11:Q11))/($A11-COUNTA($I11:Q11))),0,($C11-SUM($I11:Q11))/($A11-COUNTA($I11:Q11)))</f>
        <v>44.5</v>
      </c>
      <c r="S11" s="7">
        <f>IF(ISERROR(($C11-SUM($I11:R11))/($A11-COUNTA($I11:R11))),0,($C11-SUM($I11:R11))/($A11-COUNTA($I11:R11)))</f>
        <v>44.5</v>
      </c>
      <c r="T11" s="7">
        <f>IF(ISERROR(($C11-SUM($I11:S11))/($A11-COUNTA($I11:S11))),0,($C11-SUM($I11:S11))/($A11-COUNTA($I11:S11)))</f>
        <v>44.5</v>
      </c>
      <c r="U11" s="7">
        <f>IF(ISERROR(($C11-SUM($I11:T11))/($A11-COUNTA($I11:T11))),0,($C11-SUM($I11:T11))/($A11-COUNTA($I11:T11)))</f>
        <v>0</v>
      </c>
      <c r="V11" s="7">
        <f>IF(ISERROR(($C11-SUM($I11:U11))/($A11-COUNTA($I11:U11))),0,($C11-SUM($I11:U11))/($A11-COUNTA($I11:U11)))</f>
        <v>0</v>
      </c>
      <c r="W11" s="7">
        <f>IF(ISERROR(($C11-SUM($I11:V11))/($A11-COUNTA($I11:V11))),0,($C11-SUM($I11:V11))/($A11-COUNTA($I11:V11)))</f>
        <v>0</v>
      </c>
      <c r="X11" s="7">
        <f>IF(ISERROR(($C11-SUM($I11:W11))/($A11-COUNTA($I11:W11))),0,($C11-SUM($I11:W11))/($A11-COUNTA($I11:W11)))</f>
        <v>0</v>
      </c>
      <c r="Y11" s="7">
        <f>IF(ISERROR(($C11-SUM($I11:X11))/($A11-COUNTA($I11:X11))),0,($C11-SUM($I11:X11))/($A11-COUNTA($I11:X11)))</f>
        <v>0</v>
      </c>
      <c r="Z11" s="7">
        <f>IF(ISERROR(($C11-SUM($I11:Y11))/($A11-COUNTA($I11:Y11))),0,($C11-SUM($I11:Y11))/($A11-COUNTA($I11:Y11)))</f>
        <v>0</v>
      </c>
      <c r="AA11" s="7">
        <f>IF(ISERROR(($C11-SUM($I11:Z11))/($A11-COUNTA($I11:Z11))),0,($C11-SUM($I11:Z11))/($A11-COUNTA($I11:Z11)))</f>
        <v>0</v>
      </c>
      <c r="AB11" s="7">
        <f>IF(ISERROR(($C11-SUM($I11:AA11))/($A11-COUNTA($I11:AA11))),0,($C11-SUM($I11:AA11))/($A11-COUNTA($I11:AA11)))</f>
        <v>0</v>
      </c>
      <c r="AC11" s="7">
        <f>IF(ISERROR(($C11-SUM($I11:AB11))/($A11-COUNTA($I11:AB11))),0,($C11-SUM($I11:AB11))/($A11-COUNTA($I11:AB11)))</f>
        <v>0</v>
      </c>
      <c r="AD11" s="7">
        <f>IF(ISERROR(($C11-SUM($I11:AC11))/($A11-COUNTA($I11:AC11))),0,($C11-SUM($I11:AC11))/($A11-COUNTA($I11:AC11)))</f>
        <v>0</v>
      </c>
      <c r="AE11" s="7">
        <f>IF(ISERROR(($C11-SUM($I11:AD11))/($A11-COUNTA($I11:AD11))),0,($C11-SUM($I11:AD11))/($A11-COUNTA($I11:AD11)))</f>
        <v>0</v>
      </c>
      <c r="AF11" s="7">
        <f>IF(ISERROR(($C11-SUM($I11:AE11))/($A11-COUNTA($I11:AE11))),0,($C11-SUM($I11:AE11))/($A11-COUNTA($I11:AE11)))</f>
        <v>0</v>
      </c>
      <c r="AG11" s="7">
        <f>IF(ISERROR(($C11-SUM($I11:AF11))/($A11-COUNTA($I11:AF11))),0,($C11-SUM($I11:AF11))/($A11-COUNTA($I11:AF11)))</f>
        <v>0</v>
      </c>
      <c r="AH11" s="7">
        <f>IF(ISERROR(($C11-SUM($I11:AG11))/($A11-COUNTA($I11:AG11))),0,($C11-SUM($I11:AG11))/($A11-COUNTA($I11:AG11)))</f>
        <v>0</v>
      </c>
      <c r="AI11" s="7">
        <f>IF(ISERROR(($C11-SUM($I11:AH11))/($A11-COUNTA($I11:AH11))),0,($C11-SUM($I11:AH11))/($A11-COUNTA($I11:AH11)))</f>
        <v>0</v>
      </c>
      <c r="AJ11" s="7">
        <f>IF(ISERROR(($C11-SUM($I11:AI11))/($A11-COUNTA($I11:AI11))),0,($C11-SUM($I11:AI11))/($A11-COUNTA($I11:AI11)))</f>
        <v>0</v>
      </c>
      <c r="AK11" s="7">
        <f>IF(ISERROR(($C11-SUM($I11:AJ11))/($A11-COUNTA($I11:AJ11))),0,($C11-SUM($I11:AJ11))/($A11-COUNTA($I11:AJ11)))</f>
        <v>0</v>
      </c>
      <c r="AL11" s="7">
        <f>IF(ISERROR(($C11-SUM($I11:AK11))/($A11-COUNTA($I11:AK11))),0,($C11-SUM($I11:AK11))/($A11-COUNTA($I11:AK11)))</f>
        <v>0</v>
      </c>
      <c r="AM11" s="7">
        <f>IF(ISERROR(($C11-SUM($I11:AL11))/($A11-COUNTA($I11:AL11))),0,($C11-SUM($I11:AL11))/($A11-COUNTA($I11:AL11)))</f>
        <v>0</v>
      </c>
      <c r="AN11" s="7">
        <f>IF(ISERROR(($C11-SUM($I11:AM11))/($A11-COUNTA($I11:AM11))),0,($C11-SUM($I11:AM11))/($A11-COUNTA($I11:AM11)))</f>
        <v>0</v>
      </c>
      <c r="AO11" s="7">
        <f>IF(ISERROR(($C11-SUM($I11:AN11))/($A11-COUNTA($I11:AN11))),0,($C11-SUM($I11:AN11))/($A11-COUNTA($I11:AN11)))</f>
        <v>0</v>
      </c>
      <c r="AP11" s="7">
        <f>IF(ISERROR(($C11-SUM($I11:AO11))/($A11-COUNTA($I11:AO11))),0,($C11-SUM($I11:AO11))/($A11-COUNTA($I11:AO11)))</f>
        <v>0</v>
      </c>
      <c r="AQ11" s="7">
        <f>IF(ISERROR(($C11-SUM($I11:AP11))/($A11-COUNTA($I11:AP11))),0,($C11-SUM($I11:AP11))/($A11-COUNTA($I11:AP11)))</f>
        <v>0</v>
      </c>
      <c r="AR11" s="7">
        <f>IF(ISERROR(($C11-SUM($I11:AQ11))/($A11-COUNTA($I11:AQ11))),0,($C11-SUM($I11:AQ11))/($A11-COUNTA($I11:AQ11)))</f>
        <v>0</v>
      </c>
      <c r="AS11" s="7">
        <f>IF(ISERROR(($C11-SUM($I11:AR11))/($A11-COUNTA($I11:AR11))),0,($C11-SUM($I11:AR11))/($A11-COUNTA($I11:AR11)))</f>
        <v>0</v>
      </c>
      <c r="AT11" s="7">
        <f>IF(ISERROR(($C11-SUM($I11:AS11))/($A11-COUNTA($I11:AS11))),0,($C11-SUM($I11:AS11))/($A11-COUNTA($I11:AS11)))</f>
        <v>0</v>
      </c>
      <c r="AU11" s="7">
        <f>IF(ISERROR(($C11-SUM($I11:AT11))/($A11-COUNTA($I11:AT11))),0,($C11-SUM($I11:AT11))/($A11-COUNTA($I11:AT11)))</f>
        <v>0</v>
      </c>
      <c r="AV11" s="7">
        <f>IF(ISERROR(($C11-SUM($I11:AU11))/($A11-COUNTA($I11:AU11))),0,($C11-SUM($I11:AU11))/($A11-COUNTA($I11:AU11)))</f>
        <v>0</v>
      </c>
      <c r="AW11" s="7">
        <f>IF(ISERROR(($C11-SUM($I11:AV11))/($A11-COUNTA($I11:AV11))),0,($C11-SUM($I11:AV11))/($A11-COUNTA($I11:AV11)))</f>
        <v>0</v>
      </c>
      <c r="AX11" s="7">
        <f>IF(ISERROR(($C11-SUM($I11:AW11))/($A11-COUNTA($I11:AW11))),0,($C11-SUM($I11:AW11))/($A11-COUNTA($I11:AW11)))</f>
        <v>0</v>
      </c>
      <c r="AY11" s="7">
        <f>IF(ISERROR(($C11-SUM($I11:AX11))/($A11-COUNTA($I11:AX11))),0,($C11-SUM($I11:AX11))/($A11-COUNTA($I11:AX11)))</f>
        <v>0</v>
      </c>
      <c r="AZ11" s="7">
        <f>IF(ISERROR(($C11-SUM($I11:AY11))/($A11-COUNTA($I11:AY11))),0,($C11-SUM($I11:AY11))/($A11-COUNTA($I11:AY11)))</f>
        <v>0</v>
      </c>
      <c r="BA11" s="7">
        <f>IF(ISERROR(($C11-SUM($I11:AZ11))/($A11-COUNTA($I11:AZ11))),0,($C11-SUM($I11:AZ11))/($A11-COUNTA($I11:AZ11)))</f>
        <v>0</v>
      </c>
      <c r="BB11" s="7">
        <f>IF(ISERROR(($C11-SUM($I11:BA11))/($A11-COUNTA($I11:BA11))),0,($C11-SUM($I11:BA11))/($A11-COUNTA($I11:BA11)))</f>
        <v>0</v>
      </c>
      <c r="BC11" s="7">
        <f>IF(ISERROR(($C11-SUM($I11:BB11))/($A11-COUNTA($I11:BB11))),0,($C11-SUM($I11:BB11))/($A11-COUNTA($I11:BB11)))</f>
        <v>0</v>
      </c>
      <c r="BD11" s="7">
        <f>IF(ISERROR(($C11-SUM($I11:BC11))/($A11-COUNTA($I11:BC11))),0,($C11-SUM($I11:BC11))/($A11-COUNTA($I11:BC11)))</f>
        <v>0</v>
      </c>
      <c r="BE11" s="7">
        <f>IF(ISERROR(($C11-SUM($I11:BD11))/($A11-COUNTA($I11:BD11))),0,($C11-SUM($I11:BD11))/($A11-COUNTA($I11:BD11)))</f>
        <v>0</v>
      </c>
      <c r="BF11" s="7">
        <f>IF(ISERROR(($C11-SUM($I11:BE11))/($A11-COUNTA($I11:BE11))),0,($C11-SUM($I11:BE11))/($A11-COUNTA($I11:BE11)))</f>
        <v>0</v>
      </c>
      <c r="BG11" s="7">
        <f>IF(ISERROR(($C11-SUM($I11:BF11))/($A11-COUNTA($I11:BF11))),0,($C11-SUM($I11:BF11))/($A11-COUNTA($I11:BF11)))</f>
        <v>0</v>
      </c>
      <c r="BH11" s="7">
        <f>IF(ISERROR(($C11-SUM($I11:BG11))/($A11-COUNTA($I11:BG11))),0,($C11-SUM($I11:BG11))/($A11-COUNTA($I11:BG11)))</f>
        <v>0</v>
      </c>
      <c r="BI11" s="7">
        <f>IF(ISERROR(($C11-SUM($I11:BH11))/($A11-COUNTA($I11:BH11))),0,($C11-SUM($I11:BH11))/($A11-COUNTA($I11:BH11)))</f>
        <v>0</v>
      </c>
    </row>
    <row r="12" spans="1:61" x14ac:dyDescent="0.3">
      <c r="A12">
        <v>8</v>
      </c>
      <c r="B12">
        <v>16</v>
      </c>
      <c r="C12">
        <v>160</v>
      </c>
      <c r="D12">
        <f t="shared" si="1"/>
        <v>87</v>
      </c>
      <c r="E12">
        <f t="shared" si="0"/>
        <v>73</v>
      </c>
      <c r="F12" t="s">
        <v>10</v>
      </c>
      <c r="I12" s="6">
        <v>47</v>
      </c>
      <c r="J12" s="6">
        <v>40</v>
      </c>
      <c r="K12" s="7">
        <f>IF(ISERROR(($C12-SUM($I12:J12))/($A12-COUNTA($I12:J12))),0,($C12-SUM($I12:J12))/($A12-COUNTA($I12:J12)))</f>
        <v>12.166666666666666</v>
      </c>
      <c r="L12" s="7">
        <f>IF(ISERROR(($C12-SUM($I12:K12))/($A12-COUNTA($I12:K12))),0,($C12-SUM($I12:K12))/($A12-COUNTA($I12:K12)))</f>
        <v>12.166666666666666</v>
      </c>
      <c r="M12" s="7">
        <f>IF(ISERROR(($C12-SUM($I12:L12))/($A12-COUNTA($I12:L12))),0,($C12-SUM($I12:L12))/($A12-COUNTA($I12:L12)))</f>
        <v>12.166666666666664</v>
      </c>
      <c r="N12" s="7">
        <f>IF(ISERROR(($C12-SUM($I12:M12))/($A12-COUNTA($I12:M12))),0,($C12-SUM($I12:M12))/($A12-COUNTA($I12:M12)))</f>
        <v>12.166666666666666</v>
      </c>
      <c r="O12" s="7">
        <f>IF(ISERROR(($C12-SUM($I12:N12))/($A12-COUNTA($I12:N12))),0,($C12-SUM($I12:N12))/($A12-COUNTA($I12:N12)))</f>
        <v>12.166666666666671</v>
      </c>
      <c r="P12" s="7">
        <f>IF(ISERROR(($C12-SUM($I12:O12))/($A12-COUNTA($I12:O12))),0,($C12-SUM($I12:O12))/($A12-COUNTA($I12:O12)))</f>
        <v>12.166666666666686</v>
      </c>
      <c r="Q12" s="7">
        <f>IF(ISERROR(($C12-SUM($I12:P12))/($A12-COUNTA($I12:P12))),0,($C12-SUM($I12:P12))/($A12-COUNTA($I12:P12)))</f>
        <v>0</v>
      </c>
      <c r="R12" s="7">
        <f>IF(ISERROR(($C12-SUM($I12:Q12))/($A12-COUNTA($I12:Q12))),0,($C12-SUM($I12:Q12))/($A12-COUNTA($I12:Q12)))</f>
        <v>0</v>
      </c>
      <c r="S12" s="7">
        <f>IF(ISERROR(($C12-SUM($I12:R12))/($A12-COUNTA($I12:R12))),0,($C12-SUM($I12:R12))/($A12-COUNTA($I12:R12)))</f>
        <v>0</v>
      </c>
      <c r="T12" s="7">
        <f>IF(ISERROR(($C12-SUM($I12:S12))/($A12-COUNTA($I12:S12))),0,($C12-SUM($I12:S12))/($A12-COUNTA($I12:S12)))</f>
        <v>0</v>
      </c>
      <c r="U12" s="7">
        <f>IF(ISERROR(($C12-SUM($I12:T12))/($A12-COUNTA($I12:T12))),0,($C12-SUM($I12:T12))/($A12-COUNTA($I12:T12)))</f>
        <v>0</v>
      </c>
      <c r="V12" s="7">
        <f>IF(ISERROR(($C12-SUM($I12:U12))/($A12-COUNTA($I12:U12))),0,($C12-SUM($I12:U12))/($A12-COUNTA($I12:U12)))</f>
        <v>0</v>
      </c>
      <c r="W12" s="7">
        <f>IF(ISERROR(($C12-SUM($I12:V12))/($A12-COUNTA($I12:V12))),0,($C12-SUM($I12:V12))/($A12-COUNTA($I12:V12)))</f>
        <v>0</v>
      </c>
      <c r="X12" s="7">
        <f>IF(ISERROR(($C12-SUM($I12:W12))/($A12-COUNTA($I12:W12))),0,($C12-SUM($I12:W12))/($A12-COUNTA($I12:W12)))</f>
        <v>0</v>
      </c>
      <c r="Y12" s="7">
        <f>IF(ISERROR(($C12-SUM($I12:X12))/($A12-COUNTA($I12:X12))),0,($C12-SUM($I12:X12))/($A12-COUNTA($I12:X12)))</f>
        <v>0</v>
      </c>
      <c r="Z12" s="7">
        <f>IF(ISERROR(($C12-SUM($I12:Y12))/($A12-COUNTA($I12:Y12))),0,($C12-SUM($I12:Y12))/($A12-COUNTA($I12:Y12)))</f>
        <v>0</v>
      </c>
      <c r="AA12" s="7">
        <f>IF(ISERROR(($C12-SUM($I12:Z12))/($A12-COUNTA($I12:Z12))),0,($C12-SUM($I12:Z12))/($A12-COUNTA($I12:Z12)))</f>
        <v>0</v>
      </c>
      <c r="AB12" s="7">
        <f>IF(ISERROR(($C12-SUM($I12:AA12))/($A12-COUNTA($I12:AA12))),0,($C12-SUM($I12:AA12))/($A12-COUNTA($I12:AA12)))</f>
        <v>0</v>
      </c>
      <c r="AC12" s="7">
        <f>IF(ISERROR(($C12-SUM($I12:AB12))/($A12-COUNTA($I12:AB12))),0,($C12-SUM($I12:AB12))/($A12-COUNTA($I12:AB12)))</f>
        <v>0</v>
      </c>
      <c r="AD12" s="7">
        <f>IF(ISERROR(($C12-SUM($I12:AC12))/($A12-COUNTA($I12:AC12))),0,($C12-SUM($I12:AC12))/($A12-COUNTA($I12:AC12)))</f>
        <v>0</v>
      </c>
      <c r="AE12" s="7">
        <f>IF(ISERROR(($C12-SUM($I12:AD12))/($A12-COUNTA($I12:AD12))),0,($C12-SUM($I12:AD12))/($A12-COUNTA($I12:AD12)))</f>
        <v>0</v>
      </c>
      <c r="AF12" s="7">
        <f>IF(ISERROR(($C12-SUM($I12:AE12))/($A12-COUNTA($I12:AE12))),0,($C12-SUM($I12:AE12))/($A12-COUNTA($I12:AE12)))</f>
        <v>0</v>
      </c>
      <c r="AG12" s="7">
        <f>IF(ISERROR(($C12-SUM($I12:AF12))/($A12-COUNTA($I12:AF12))),0,($C12-SUM($I12:AF12))/($A12-COUNTA($I12:AF12)))</f>
        <v>0</v>
      </c>
      <c r="AH12" s="7">
        <f>IF(ISERROR(($C12-SUM($I12:AG12))/($A12-COUNTA($I12:AG12))),0,($C12-SUM($I12:AG12))/($A12-COUNTA($I12:AG12)))</f>
        <v>0</v>
      </c>
      <c r="AI12" s="7">
        <f>IF(ISERROR(($C12-SUM($I12:AH12))/($A12-COUNTA($I12:AH12))),0,($C12-SUM($I12:AH12))/($A12-COUNTA($I12:AH12)))</f>
        <v>0</v>
      </c>
      <c r="AJ12" s="7">
        <f>IF(ISERROR(($C12-SUM($I12:AI12))/($A12-COUNTA($I12:AI12))),0,($C12-SUM($I12:AI12))/($A12-COUNTA($I12:AI12)))</f>
        <v>0</v>
      </c>
      <c r="AK12" s="7">
        <f>IF(ISERROR(($C12-SUM($I12:AJ12))/($A12-COUNTA($I12:AJ12))),0,($C12-SUM($I12:AJ12))/($A12-COUNTA($I12:AJ12)))</f>
        <v>0</v>
      </c>
      <c r="AL12" s="7">
        <f>IF(ISERROR(($C12-SUM($I12:AK12))/($A12-COUNTA($I12:AK12))),0,($C12-SUM($I12:AK12))/($A12-COUNTA($I12:AK12)))</f>
        <v>0</v>
      </c>
      <c r="AM12" s="7">
        <f>IF(ISERROR(($C12-SUM($I12:AL12))/($A12-COUNTA($I12:AL12))),0,($C12-SUM($I12:AL12))/($A12-COUNTA($I12:AL12)))</f>
        <v>0</v>
      </c>
      <c r="AN12" s="7">
        <f>IF(ISERROR(($C12-SUM($I12:AM12))/($A12-COUNTA($I12:AM12))),0,($C12-SUM($I12:AM12))/($A12-COUNTA($I12:AM12)))</f>
        <v>0</v>
      </c>
      <c r="AO12" s="7">
        <f>IF(ISERROR(($C12-SUM($I12:AN12))/($A12-COUNTA($I12:AN12))),0,($C12-SUM($I12:AN12))/($A12-COUNTA($I12:AN12)))</f>
        <v>0</v>
      </c>
      <c r="AP12" s="7">
        <f>IF(ISERROR(($C12-SUM($I12:AO12))/($A12-COUNTA($I12:AO12))),0,($C12-SUM($I12:AO12))/($A12-COUNTA($I12:AO12)))</f>
        <v>0</v>
      </c>
      <c r="AQ12" s="7">
        <f>IF(ISERROR(($C12-SUM($I12:AP12))/($A12-COUNTA($I12:AP12))),0,($C12-SUM($I12:AP12))/($A12-COUNTA($I12:AP12)))</f>
        <v>0</v>
      </c>
      <c r="AR12" s="7">
        <f>IF(ISERROR(($C12-SUM($I12:AQ12))/($A12-COUNTA($I12:AQ12))),0,($C12-SUM($I12:AQ12))/($A12-COUNTA($I12:AQ12)))</f>
        <v>0</v>
      </c>
      <c r="AS12" s="7">
        <f>IF(ISERROR(($C12-SUM($I12:AR12))/($A12-COUNTA($I12:AR12))),0,($C12-SUM($I12:AR12))/($A12-COUNTA($I12:AR12)))</f>
        <v>0</v>
      </c>
      <c r="AT12" s="7">
        <f>IF(ISERROR(($C12-SUM($I12:AS12))/($A12-COUNTA($I12:AS12))),0,($C12-SUM($I12:AS12))/($A12-COUNTA($I12:AS12)))</f>
        <v>0</v>
      </c>
      <c r="AU12" s="7">
        <f>IF(ISERROR(($C12-SUM($I12:AT12))/($A12-COUNTA($I12:AT12))),0,($C12-SUM($I12:AT12))/($A12-COUNTA($I12:AT12)))</f>
        <v>0</v>
      </c>
      <c r="AV12" s="7">
        <f>IF(ISERROR(($C12-SUM($I12:AU12))/($A12-COUNTA($I12:AU12))),0,($C12-SUM($I12:AU12))/($A12-COUNTA($I12:AU12)))</f>
        <v>0</v>
      </c>
      <c r="AW12" s="7">
        <f>IF(ISERROR(($C12-SUM($I12:AV12))/($A12-COUNTA($I12:AV12))),0,($C12-SUM($I12:AV12))/($A12-COUNTA($I12:AV12)))</f>
        <v>0</v>
      </c>
      <c r="AX12" s="7">
        <f>IF(ISERROR(($C12-SUM($I12:AW12))/($A12-COUNTA($I12:AW12))),0,($C12-SUM($I12:AW12))/($A12-COUNTA($I12:AW12)))</f>
        <v>0</v>
      </c>
      <c r="AY12" s="7">
        <f>IF(ISERROR(($C12-SUM($I12:AX12))/($A12-COUNTA($I12:AX12))),0,($C12-SUM($I12:AX12))/($A12-COUNTA($I12:AX12)))</f>
        <v>0</v>
      </c>
      <c r="AZ12" s="7">
        <f>IF(ISERROR(($C12-SUM($I12:AY12))/($A12-COUNTA($I12:AY12))),0,($C12-SUM($I12:AY12))/($A12-COUNTA($I12:AY12)))</f>
        <v>0</v>
      </c>
      <c r="BA12" s="7">
        <f>IF(ISERROR(($C12-SUM($I12:AZ12))/($A12-COUNTA($I12:AZ12))),0,($C12-SUM($I12:AZ12))/($A12-COUNTA($I12:AZ12)))</f>
        <v>0</v>
      </c>
      <c r="BB12" s="7">
        <f>IF(ISERROR(($C12-SUM($I12:BA12))/($A12-COUNTA($I12:BA12))),0,($C12-SUM($I12:BA12))/($A12-COUNTA($I12:BA12)))</f>
        <v>0</v>
      </c>
      <c r="BC12" s="7">
        <f>IF(ISERROR(($C12-SUM($I12:BB12))/($A12-COUNTA($I12:BB12))),0,($C12-SUM($I12:BB12))/($A12-COUNTA($I12:BB12)))</f>
        <v>0</v>
      </c>
      <c r="BD12" s="7">
        <f>IF(ISERROR(($C12-SUM($I12:BC12))/($A12-COUNTA($I12:BC12))),0,($C12-SUM($I12:BC12))/($A12-COUNTA($I12:BC12)))</f>
        <v>0</v>
      </c>
      <c r="BE12" s="7">
        <f>IF(ISERROR(($C12-SUM($I12:BD12))/($A12-COUNTA($I12:BD12))),0,($C12-SUM($I12:BD12))/($A12-COUNTA($I12:BD12)))</f>
        <v>0</v>
      </c>
      <c r="BF12" s="7">
        <f>IF(ISERROR(($C12-SUM($I12:BE12))/($A12-COUNTA($I12:BE12))),0,($C12-SUM($I12:BE12))/($A12-COUNTA($I12:BE12)))</f>
        <v>0</v>
      </c>
      <c r="BG12" s="7">
        <f>IF(ISERROR(($C12-SUM($I12:BF12))/($A12-COUNTA($I12:BF12))),0,($C12-SUM($I12:BF12))/($A12-COUNTA($I12:BF12)))</f>
        <v>0</v>
      </c>
      <c r="BH12" s="7">
        <f>IF(ISERROR(($C12-SUM($I12:BG12))/($A12-COUNTA($I12:BG12))),0,($C12-SUM($I12:BG12))/($A12-COUNTA($I12:BG12)))</f>
        <v>0</v>
      </c>
      <c r="BI12" s="7">
        <f>IF(ISERROR(($C12-SUM($I12:BH12))/($A12-COUNTA($I12:BH12))),0,($C12-SUM($I12:BH12))/($A12-COUNTA($I12:BH12)))</f>
        <v>0</v>
      </c>
    </row>
    <row r="13" spans="1:61" x14ac:dyDescent="0.3">
      <c r="A13">
        <v>4</v>
      </c>
      <c r="B13">
        <v>12</v>
      </c>
      <c r="C13">
        <v>80</v>
      </c>
      <c r="D13">
        <f t="shared" si="1"/>
        <v>0</v>
      </c>
      <c r="E13">
        <f t="shared" si="0"/>
        <v>80</v>
      </c>
      <c r="F13" t="s">
        <v>12</v>
      </c>
      <c r="I13" s="6">
        <v>0</v>
      </c>
      <c r="J13" s="6">
        <v>0</v>
      </c>
      <c r="K13" s="7">
        <f>IF(ISERROR(($C13-SUM($I13:J13))/($A13-COUNTA($I13:J13))),0,($C13-SUM($I13:J13))/($A13-COUNTA($I13:J13)))</f>
        <v>40</v>
      </c>
      <c r="L13" s="7">
        <f>IF(ISERROR(($C13-SUM($I13:K13))/($A13-COUNTA($I13:K13))),0,($C13-SUM($I13:K13))/($A13-COUNTA($I13:K13)))</f>
        <v>40</v>
      </c>
      <c r="M13" s="7">
        <f>IF(ISERROR(($C13-SUM($I13:L13))/($A13-COUNTA($I13:L13))),0,($C13-SUM($I13:L13))/($A13-COUNTA($I13:L13)))</f>
        <v>0</v>
      </c>
      <c r="N13" s="7">
        <f>IF(ISERROR(($C13-SUM($I13:M13))/($A13-COUNTA($I13:M13))),0,($C13-SUM($I13:M13))/($A13-COUNTA($I13:M13)))</f>
        <v>0</v>
      </c>
      <c r="O13" s="7">
        <f>IF(ISERROR(($C13-SUM($I13:N13))/($A13-COUNTA($I13:N13))),0,($C13-SUM($I13:N13))/($A13-COUNTA($I13:N13)))</f>
        <v>0</v>
      </c>
      <c r="P13" s="7">
        <f>IF(ISERROR(($C13-SUM($I13:O13))/($A13-COUNTA($I13:O13))),0,($C13-SUM($I13:O13))/($A13-COUNTA($I13:O13)))</f>
        <v>0</v>
      </c>
      <c r="Q13" s="7">
        <f>IF(ISERROR(($C13-SUM($I13:P13))/($A13-COUNTA($I13:P13))),0,($C13-SUM($I13:P13))/($A13-COUNTA($I13:P13)))</f>
        <v>0</v>
      </c>
      <c r="R13" s="7">
        <f>IF(ISERROR(($C13-SUM($I13:Q13))/($A13-COUNTA($I13:Q13))),0,($C13-SUM($I13:Q13))/($A13-COUNTA($I13:Q13)))</f>
        <v>0</v>
      </c>
      <c r="S13" s="7">
        <f>IF(ISERROR(($C13-SUM($I13:R13))/($A13-COUNTA($I13:R13))),0,($C13-SUM($I13:R13))/($A13-COUNTA($I13:R13)))</f>
        <v>0</v>
      </c>
      <c r="T13" s="7">
        <f>IF(ISERROR(($C13-SUM($I13:S13))/($A13-COUNTA($I13:S13))),0,($C13-SUM($I13:S13))/($A13-COUNTA($I13:S13)))</f>
        <v>0</v>
      </c>
      <c r="U13" s="7">
        <f>IF(ISERROR(($C13-SUM($I13:T13))/($A13-COUNTA($I13:T13))),0,($C13-SUM($I13:T13))/($A13-COUNTA($I13:T13)))</f>
        <v>0</v>
      </c>
      <c r="V13" s="7">
        <f>IF(ISERROR(($C13-SUM($I13:U13))/($A13-COUNTA($I13:U13))),0,($C13-SUM($I13:U13))/($A13-COUNTA($I13:U13)))</f>
        <v>0</v>
      </c>
      <c r="W13" s="7">
        <f>IF(ISERROR(($C13-SUM($I13:V13))/($A13-COUNTA($I13:V13))),0,($C13-SUM($I13:V13))/($A13-COUNTA($I13:V13)))</f>
        <v>0</v>
      </c>
      <c r="X13" s="7">
        <f>IF(ISERROR(($C13-SUM($I13:W13))/($A13-COUNTA($I13:W13))),0,($C13-SUM($I13:W13))/($A13-COUNTA($I13:W13)))</f>
        <v>0</v>
      </c>
      <c r="Y13" s="7">
        <f>IF(ISERROR(($C13-SUM($I13:X13))/($A13-COUNTA($I13:X13))),0,($C13-SUM($I13:X13))/($A13-COUNTA($I13:X13)))</f>
        <v>0</v>
      </c>
      <c r="Z13" s="7">
        <f>IF(ISERROR(($C13-SUM($I13:Y13))/($A13-COUNTA($I13:Y13))),0,($C13-SUM($I13:Y13))/($A13-COUNTA($I13:Y13)))</f>
        <v>0</v>
      </c>
      <c r="AA13" s="7">
        <f>IF(ISERROR(($C13-SUM($I13:Z13))/($A13-COUNTA($I13:Z13))),0,($C13-SUM($I13:Z13))/($A13-COUNTA($I13:Z13)))</f>
        <v>0</v>
      </c>
      <c r="AB13" s="7">
        <f>IF(ISERROR(($C13-SUM($I13:AA13))/($A13-COUNTA($I13:AA13))),0,($C13-SUM($I13:AA13))/($A13-COUNTA($I13:AA13)))</f>
        <v>0</v>
      </c>
      <c r="AC13" s="7">
        <f>IF(ISERROR(($C13-SUM($I13:AB13))/($A13-COUNTA($I13:AB13))),0,($C13-SUM($I13:AB13))/($A13-COUNTA($I13:AB13)))</f>
        <v>0</v>
      </c>
      <c r="AD13" s="7">
        <f>IF(ISERROR(($C13-SUM($I13:AC13))/($A13-COUNTA($I13:AC13))),0,($C13-SUM($I13:AC13))/($A13-COUNTA($I13:AC13)))</f>
        <v>0</v>
      </c>
      <c r="AE13" s="7">
        <f>IF(ISERROR(($C13-SUM($I13:AD13))/($A13-COUNTA($I13:AD13))),0,($C13-SUM($I13:AD13))/($A13-COUNTA($I13:AD13)))</f>
        <v>0</v>
      </c>
      <c r="AF13" s="7">
        <f>IF(ISERROR(($C13-SUM($I13:AE13))/($A13-COUNTA($I13:AE13))),0,($C13-SUM($I13:AE13))/($A13-COUNTA($I13:AE13)))</f>
        <v>0</v>
      </c>
      <c r="AG13" s="7">
        <f>IF(ISERROR(($C13-SUM($I13:AF13))/($A13-COUNTA($I13:AF13))),0,($C13-SUM($I13:AF13))/($A13-COUNTA($I13:AF13)))</f>
        <v>0</v>
      </c>
      <c r="AH13" s="7">
        <f>IF(ISERROR(($C13-SUM($I13:AG13))/($A13-COUNTA($I13:AG13))),0,($C13-SUM($I13:AG13))/($A13-COUNTA($I13:AG13)))</f>
        <v>0</v>
      </c>
      <c r="AI13" s="7">
        <f>IF(ISERROR(($C13-SUM($I13:AH13))/($A13-COUNTA($I13:AH13))),0,($C13-SUM($I13:AH13))/($A13-COUNTA($I13:AH13)))</f>
        <v>0</v>
      </c>
      <c r="AJ13" s="7">
        <f>IF(ISERROR(($C13-SUM($I13:AI13))/($A13-COUNTA($I13:AI13))),0,($C13-SUM($I13:AI13))/($A13-COUNTA($I13:AI13)))</f>
        <v>0</v>
      </c>
      <c r="AK13" s="7">
        <f>IF(ISERROR(($C13-SUM($I13:AJ13))/($A13-COUNTA($I13:AJ13))),0,($C13-SUM($I13:AJ13))/($A13-COUNTA($I13:AJ13)))</f>
        <v>0</v>
      </c>
      <c r="AL13" s="7">
        <f>IF(ISERROR(($C13-SUM($I13:AK13))/($A13-COUNTA($I13:AK13))),0,($C13-SUM($I13:AK13))/($A13-COUNTA($I13:AK13)))</f>
        <v>0</v>
      </c>
      <c r="AM13" s="7">
        <f>IF(ISERROR(($C13-SUM($I13:AL13))/($A13-COUNTA($I13:AL13))),0,($C13-SUM($I13:AL13))/($A13-COUNTA($I13:AL13)))</f>
        <v>0</v>
      </c>
      <c r="AN13" s="7">
        <f>IF(ISERROR(($C13-SUM($I13:AM13))/($A13-COUNTA($I13:AM13))),0,($C13-SUM($I13:AM13))/($A13-COUNTA($I13:AM13)))</f>
        <v>0</v>
      </c>
      <c r="AO13" s="7">
        <f>IF(ISERROR(($C13-SUM($I13:AN13))/($A13-COUNTA($I13:AN13))),0,($C13-SUM($I13:AN13))/($A13-COUNTA($I13:AN13)))</f>
        <v>0</v>
      </c>
      <c r="AP13" s="7">
        <f>IF(ISERROR(($C13-SUM($I13:AO13))/($A13-COUNTA($I13:AO13))),0,($C13-SUM($I13:AO13))/($A13-COUNTA($I13:AO13)))</f>
        <v>0</v>
      </c>
      <c r="AQ13" s="7">
        <f>IF(ISERROR(($C13-SUM($I13:AP13))/($A13-COUNTA($I13:AP13))),0,($C13-SUM($I13:AP13))/($A13-COUNTA($I13:AP13)))</f>
        <v>0</v>
      </c>
      <c r="AR13" s="7">
        <f>IF(ISERROR(($C13-SUM($I13:AQ13))/($A13-COUNTA($I13:AQ13))),0,($C13-SUM($I13:AQ13))/($A13-COUNTA($I13:AQ13)))</f>
        <v>0</v>
      </c>
      <c r="AS13" s="7">
        <f>IF(ISERROR(($C13-SUM($I13:AR13))/($A13-COUNTA($I13:AR13))),0,($C13-SUM($I13:AR13))/($A13-COUNTA($I13:AR13)))</f>
        <v>0</v>
      </c>
      <c r="AT13" s="7">
        <f>IF(ISERROR(($C13-SUM($I13:AS13))/($A13-COUNTA($I13:AS13))),0,($C13-SUM($I13:AS13))/($A13-COUNTA($I13:AS13)))</f>
        <v>0</v>
      </c>
      <c r="AU13" s="7">
        <f>IF(ISERROR(($C13-SUM($I13:AT13))/($A13-COUNTA($I13:AT13))),0,($C13-SUM($I13:AT13))/($A13-COUNTA($I13:AT13)))</f>
        <v>0</v>
      </c>
      <c r="AV13" s="7">
        <f>IF(ISERROR(($C13-SUM($I13:AU13))/($A13-COUNTA($I13:AU13))),0,($C13-SUM($I13:AU13))/($A13-COUNTA($I13:AU13)))</f>
        <v>0</v>
      </c>
      <c r="AW13" s="7">
        <f>IF(ISERROR(($C13-SUM($I13:AV13))/($A13-COUNTA($I13:AV13))),0,($C13-SUM($I13:AV13))/($A13-COUNTA($I13:AV13)))</f>
        <v>0</v>
      </c>
      <c r="AX13" s="7">
        <f>IF(ISERROR(($C13-SUM($I13:AW13))/($A13-COUNTA($I13:AW13))),0,($C13-SUM($I13:AW13))/($A13-COUNTA($I13:AW13)))</f>
        <v>0</v>
      </c>
      <c r="AY13" s="7">
        <f>IF(ISERROR(($C13-SUM($I13:AX13))/($A13-COUNTA($I13:AX13))),0,($C13-SUM($I13:AX13))/($A13-COUNTA($I13:AX13)))</f>
        <v>0</v>
      </c>
      <c r="AZ13" s="7">
        <f>IF(ISERROR(($C13-SUM($I13:AY13))/($A13-COUNTA($I13:AY13))),0,($C13-SUM($I13:AY13))/($A13-COUNTA($I13:AY13)))</f>
        <v>0</v>
      </c>
      <c r="BA13" s="7">
        <f>IF(ISERROR(($C13-SUM($I13:AZ13))/($A13-COUNTA($I13:AZ13))),0,($C13-SUM($I13:AZ13))/($A13-COUNTA($I13:AZ13)))</f>
        <v>0</v>
      </c>
      <c r="BB13" s="7">
        <f>IF(ISERROR(($C13-SUM($I13:BA13))/($A13-COUNTA($I13:BA13))),0,($C13-SUM($I13:BA13))/($A13-COUNTA($I13:BA13)))</f>
        <v>0</v>
      </c>
      <c r="BC13" s="7">
        <f>IF(ISERROR(($C13-SUM($I13:BB13))/($A13-COUNTA($I13:BB13))),0,($C13-SUM($I13:BB13))/($A13-COUNTA($I13:BB13)))</f>
        <v>0</v>
      </c>
      <c r="BD13" s="7">
        <f>IF(ISERROR(($C13-SUM($I13:BC13))/($A13-COUNTA($I13:BC13))),0,($C13-SUM($I13:BC13))/($A13-COUNTA($I13:BC13)))</f>
        <v>0</v>
      </c>
      <c r="BE13" s="7">
        <f>IF(ISERROR(($C13-SUM($I13:BD13))/($A13-COUNTA($I13:BD13))),0,($C13-SUM($I13:BD13))/($A13-COUNTA($I13:BD13)))</f>
        <v>0</v>
      </c>
      <c r="BF13" s="7">
        <f>IF(ISERROR(($C13-SUM($I13:BE13))/($A13-COUNTA($I13:BE13))),0,($C13-SUM($I13:BE13))/($A13-COUNTA($I13:BE13)))</f>
        <v>0</v>
      </c>
      <c r="BG13" s="7">
        <f>IF(ISERROR(($C13-SUM($I13:BF13))/($A13-COUNTA($I13:BF13))),0,($C13-SUM($I13:BF13))/($A13-COUNTA($I13:BF13)))</f>
        <v>0</v>
      </c>
      <c r="BH13" s="7">
        <f>IF(ISERROR(($C13-SUM($I13:BG13))/($A13-COUNTA($I13:BG13))),0,($C13-SUM($I13:BG13))/($A13-COUNTA($I13:BG13)))</f>
        <v>0</v>
      </c>
      <c r="BI13" s="7">
        <f>IF(ISERROR(($C13-SUM($I13:BH13))/($A13-COUNTA($I13:BH13))),0,($C13-SUM($I13:BH13))/($A13-COUNTA($I13:BH13)))</f>
        <v>0</v>
      </c>
    </row>
    <row r="14" spans="1:61" x14ac:dyDescent="0.3">
      <c r="A14">
        <v>24</v>
      </c>
      <c r="B14">
        <v>12</v>
      </c>
      <c r="C14">
        <v>800</v>
      </c>
      <c r="D14">
        <f t="shared" si="1"/>
        <v>0</v>
      </c>
      <c r="E14">
        <f t="shared" si="0"/>
        <v>800</v>
      </c>
      <c r="F14" t="s">
        <v>16</v>
      </c>
      <c r="I14" s="6">
        <v>0</v>
      </c>
      <c r="J14" s="6">
        <v>0</v>
      </c>
      <c r="K14" s="7">
        <f>IF(ISERROR(($C14-SUM($I14:J14))/($A14-COUNTA($I14:J14))),0,($C14-SUM($I14:J14))/($A14-COUNTA($I14:J14)))</f>
        <v>36.363636363636367</v>
      </c>
      <c r="L14" s="7">
        <f>IF(ISERROR(($C14-SUM($I14:K14))/($A14-COUNTA($I14:K14))),0,($C14-SUM($I14:K14))/($A14-COUNTA($I14:K14)))</f>
        <v>36.36363636363636</v>
      </c>
      <c r="M14" s="7">
        <f>IF(ISERROR(($C14-SUM($I14:L14))/($A14-COUNTA($I14:L14))),0,($C14-SUM($I14:L14))/($A14-COUNTA($I14:L14)))</f>
        <v>36.36363636363636</v>
      </c>
      <c r="N14" s="7">
        <f>IF(ISERROR(($C14-SUM($I14:M14))/($A14-COUNTA($I14:M14))),0,($C14-SUM($I14:M14))/($A14-COUNTA($I14:M14)))</f>
        <v>36.36363636363636</v>
      </c>
      <c r="O14" s="7">
        <f>IF(ISERROR(($C14-SUM($I14:N14))/($A14-COUNTA($I14:N14))),0,($C14-SUM($I14:N14))/($A14-COUNTA($I14:N14)))</f>
        <v>36.36363636363636</v>
      </c>
      <c r="P14" s="7">
        <f>IF(ISERROR(($C14-SUM($I14:O14))/($A14-COUNTA($I14:O14))),0,($C14-SUM($I14:O14))/($A14-COUNTA($I14:O14)))</f>
        <v>36.363636363636367</v>
      </c>
      <c r="Q14" s="7">
        <f>IF(ISERROR(($C14-SUM($I14:P14))/($A14-COUNTA($I14:P14))),0,($C14-SUM($I14:P14))/($A14-COUNTA($I14:P14)))</f>
        <v>36.36363636363636</v>
      </c>
      <c r="R14" s="7">
        <f>IF(ISERROR(($C14-SUM($I14:Q14))/($A14-COUNTA($I14:Q14))),0,($C14-SUM($I14:Q14))/($A14-COUNTA($I14:Q14)))</f>
        <v>36.363636363636367</v>
      </c>
      <c r="S14" s="7">
        <f>IF(ISERROR(($C14-SUM($I14:R14))/($A14-COUNTA($I14:R14))),0,($C14-SUM($I14:R14))/($A14-COUNTA($I14:R14)))</f>
        <v>36.36363636363636</v>
      </c>
      <c r="T14" s="7">
        <f>IF(ISERROR(($C14-SUM($I14:S14))/($A14-COUNTA($I14:S14))),0,($C14-SUM($I14:S14))/($A14-COUNTA($I14:S14)))</f>
        <v>36.36363636363636</v>
      </c>
      <c r="U14" s="7">
        <f>IF(ISERROR(($C14-SUM($I14:T14))/($A14-COUNTA($I14:T14))),0,($C14-SUM($I14:T14))/($A14-COUNTA($I14:T14)))</f>
        <v>36.36363636363636</v>
      </c>
      <c r="V14" s="7">
        <f>IF(ISERROR(($C14-SUM($I14:U14))/($A14-COUNTA($I14:U14))),0,($C14-SUM($I14:U14))/($A14-COUNTA($I14:U14)))</f>
        <v>36.36363636363636</v>
      </c>
      <c r="W14" s="7">
        <f>IF(ISERROR(($C14-SUM($I14:V14))/($A14-COUNTA($I14:V14))),0,($C14-SUM($I14:V14))/($A14-COUNTA($I14:V14)))</f>
        <v>36.36363636363636</v>
      </c>
      <c r="X14" s="7">
        <f>IF(ISERROR(($C14-SUM($I14:W14))/($A14-COUNTA($I14:W14))),0,($C14-SUM($I14:W14))/($A14-COUNTA($I14:W14)))</f>
        <v>36.363636363636353</v>
      </c>
      <c r="Y14" s="7">
        <f>IF(ISERROR(($C14-SUM($I14:X14))/($A14-COUNTA($I14:X14))),0,($C14-SUM($I14:X14))/($A14-COUNTA($I14:X14)))</f>
        <v>36.363636363636353</v>
      </c>
      <c r="Z14" s="7">
        <f>IF(ISERROR(($C14-SUM($I14:Y14))/($A14-COUNTA($I14:Y14))),0,($C14-SUM($I14:Y14))/($A14-COUNTA($I14:Y14)))</f>
        <v>36.36363636363636</v>
      </c>
      <c r="AA14" s="7">
        <f>IF(ISERROR(($C14-SUM($I14:Z14))/($A14-COUNTA($I14:Z14))),0,($C14-SUM($I14:Z14))/($A14-COUNTA($I14:Z14)))</f>
        <v>36.363636363636353</v>
      </c>
      <c r="AB14" s="7">
        <f>IF(ISERROR(($C14-SUM($I14:AA14))/($A14-COUNTA($I14:AA14))),0,($C14-SUM($I14:AA14))/($A14-COUNTA($I14:AA14)))</f>
        <v>36.363636363636353</v>
      </c>
      <c r="AC14" s="7">
        <f>IF(ISERROR(($C14-SUM($I14:AB14))/($A14-COUNTA($I14:AB14))),0,($C14-SUM($I14:AB14))/($A14-COUNTA($I14:AB14)))</f>
        <v>36.363636363636346</v>
      </c>
      <c r="AD14" s="7">
        <f>IF(ISERROR(($C14-SUM($I14:AC14))/($A14-COUNTA($I14:AC14))),0,($C14-SUM($I14:AC14))/($A14-COUNTA($I14:AC14)))</f>
        <v>36.363636363636338</v>
      </c>
      <c r="AE14" s="7">
        <f>IF(ISERROR(($C14-SUM($I14:AD14))/($A14-COUNTA($I14:AD14))),0,($C14-SUM($I14:AD14))/($A14-COUNTA($I14:AD14)))</f>
        <v>36.363636363636317</v>
      </c>
      <c r="AF14" s="7">
        <f>IF(ISERROR(($C14-SUM($I14:AE14))/($A14-COUNTA($I14:AE14))),0,($C14-SUM($I14:AE14))/($A14-COUNTA($I14:AE14)))</f>
        <v>36.36363636363626</v>
      </c>
      <c r="AG14" s="7">
        <f>IF(ISERROR(($C14-SUM($I14:AF14))/($A14-COUNTA($I14:AF14))),0,($C14-SUM($I14:AF14))/($A14-COUNTA($I14:AF14)))</f>
        <v>0</v>
      </c>
      <c r="AH14" s="7">
        <f>IF(ISERROR(($C14-SUM($I14:AG14))/($A14-COUNTA($I14:AG14))),0,($C14-SUM($I14:AG14))/($A14-COUNTA($I14:AG14)))</f>
        <v>0</v>
      </c>
      <c r="AI14" s="7">
        <f>IF(ISERROR(($C14-SUM($I14:AH14))/($A14-COUNTA($I14:AH14))),0,($C14-SUM($I14:AH14))/($A14-COUNTA($I14:AH14)))</f>
        <v>0</v>
      </c>
      <c r="AJ14" s="7">
        <f>IF(ISERROR(($C14-SUM($I14:AI14))/($A14-COUNTA($I14:AI14))),0,($C14-SUM($I14:AI14))/($A14-COUNTA($I14:AI14)))</f>
        <v>0</v>
      </c>
      <c r="AK14" s="7">
        <f>IF(ISERROR(($C14-SUM($I14:AJ14))/($A14-COUNTA($I14:AJ14))),0,($C14-SUM($I14:AJ14))/($A14-COUNTA($I14:AJ14)))</f>
        <v>0</v>
      </c>
      <c r="AL14" s="7">
        <f>IF(ISERROR(($C14-SUM($I14:AK14))/($A14-COUNTA($I14:AK14))),0,($C14-SUM($I14:AK14))/($A14-COUNTA($I14:AK14)))</f>
        <v>0</v>
      </c>
      <c r="AM14" s="7">
        <f>IF(ISERROR(($C14-SUM($I14:AL14))/($A14-COUNTA($I14:AL14))),0,($C14-SUM($I14:AL14))/($A14-COUNTA($I14:AL14)))</f>
        <v>0</v>
      </c>
      <c r="AN14" s="7">
        <f>IF(ISERROR(($C14-SUM($I14:AM14))/($A14-COUNTA($I14:AM14))),0,($C14-SUM($I14:AM14))/($A14-COUNTA($I14:AM14)))</f>
        <v>0</v>
      </c>
      <c r="AO14" s="7">
        <f>IF(ISERROR(($C14-SUM($I14:AN14))/($A14-COUNTA($I14:AN14))),0,($C14-SUM($I14:AN14))/($A14-COUNTA($I14:AN14)))</f>
        <v>0</v>
      </c>
      <c r="AP14" s="7">
        <f>IF(ISERROR(($C14-SUM($I14:AO14))/($A14-COUNTA($I14:AO14))),0,($C14-SUM($I14:AO14))/($A14-COUNTA($I14:AO14)))</f>
        <v>0</v>
      </c>
      <c r="AQ14" s="7">
        <f>IF(ISERROR(($C14-SUM($I14:AP14))/($A14-COUNTA($I14:AP14))),0,($C14-SUM($I14:AP14))/($A14-COUNTA($I14:AP14)))</f>
        <v>0</v>
      </c>
      <c r="AR14" s="7">
        <f>IF(ISERROR(($C14-SUM($I14:AQ14))/($A14-COUNTA($I14:AQ14))),0,($C14-SUM($I14:AQ14))/($A14-COUNTA($I14:AQ14)))</f>
        <v>0</v>
      </c>
      <c r="AS14" s="7">
        <f>IF(ISERROR(($C14-SUM($I14:AR14))/($A14-COUNTA($I14:AR14))),0,($C14-SUM($I14:AR14))/($A14-COUNTA($I14:AR14)))</f>
        <v>0</v>
      </c>
      <c r="AT14" s="7">
        <f>IF(ISERROR(($C14-SUM($I14:AS14))/($A14-COUNTA($I14:AS14))),0,($C14-SUM($I14:AS14))/($A14-COUNTA($I14:AS14)))</f>
        <v>0</v>
      </c>
      <c r="AU14" s="7">
        <f>IF(ISERROR(($C14-SUM($I14:AT14))/($A14-COUNTA($I14:AT14))),0,($C14-SUM($I14:AT14))/($A14-COUNTA($I14:AT14)))</f>
        <v>0</v>
      </c>
      <c r="AV14" s="7">
        <f>IF(ISERROR(($C14-SUM($I14:AU14))/($A14-COUNTA($I14:AU14))),0,($C14-SUM($I14:AU14))/($A14-COUNTA($I14:AU14)))</f>
        <v>0</v>
      </c>
      <c r="AW14" s="7">
        <f>IF(ISERROR(($C14-SUM($I14:AV14))/($A14-COUNTA($I14:AV14))),0,($C14-SUM($I14:AV14))/($A14-COUNTA($I14:AV14)))</f>
        <v>0</v>
      </c>
      <c r="AX14" s="7">
        <f>IF(ISERROR(($C14-SUM($I14:AW14))/($A14-COUNTA($I14:AW14))),0,($C14-SUM($I14:AW14))/($A14-COUNTA($I14:AW14)))</f>
        <v>0</v>
      </c>
      <c r="AY14" s="7">
        <f>IF(ISERROR(($C14-SUM($I14:AX14))/($A14-COUNTA($I14:AX14))),0,($C14-SUM($I14:AX14))/($A14-COUNTA($I14:AX14)))</f>
        <v>0</v>
      </c>
      <c r="AZ14" s="7">
        <f>IF(ISERROR(($C14-SUM($I14:AY14))/($A14-COUNTA($I14:AY14))),0,($C14-SUM($I14:AY14))/($A14-COUNTA($I14:AY14)))</f>
        <v>0</v>
      </c>
      <c r="BA14" s="7">
        <f>IF(ISERROR(($C14-SUM($I14:AZ14))/($A14-COUNTA($I14:AZ14))),0,($C14-SUM($I14:AZ14))/($A14-COUNTA($I14:AZ14)))</f>
        <v>0</v>
      </c>
      <c r="BB14" s="7">
        <f>IF(ISERROR(($C14-SUM($I14:BA14))/($A14-COUNTA($I14:BA14))),0,($C14-SUM($I14:BA14))/($A14-COUNTA($I14:BA14)))</f>
        <v>0</v>
      </c>
      <c r="BC14" s="7">
        <f>IF(ISERROR(($C14-SUM($I14:BB14))/($A14-COUNTA($I14:BB14))),0,($C14-SUM($I14:BB14))/($A14-COUNTA($I14:BB14)))</f>
        <v>0</v>
      </c>
      <c r="BD14" s="7">
        <f>IF(ISERROR(($C14-SUM($I14:BC14))/($A14-COUNTA($I14:BC14))),0,($C14-SUM($I14:BC14))/($A14-COUNTA($I14:BC14)))</f>
        <v>0</v>
      </c>
      <c r="BE14" s="7">
        <f>IF(ISERROR(($C14-SUM($I14:BD14))/($A14-COUNTA($I14:BD14))),0,($C14-SUM($I14:BD14))/($A14-COUNTA($I14:BD14)))</f>
        <v>0</v>
      </c>
      <c r="BF14" s="7">
        <f>IF(ISERROR(($C14-SUM($I14:BE14))/($A14-COUNTA($I14:BE14))),0,($C14-SUM($I14:BE14))/($A14-COUNTA($I14:BE14)))</f>
        <v>0</v>
      </c>
      <c r="BG14" s="7">
        <f>IF(ISERROR(($C14-SUM($I14:BF14))/($A14-COUNTA($I14:BF14))),0,($C14-SUM($I14:BF14))/($A14-COUNTA($I14:BF14)))</f>
        <v>0</v>
      </c>
      <c r="BH14" s="7">
        <f>IF(ISERROR(($C14-SUM($I14:BG14))/($A14-COUNTA($I14:BG14))),0,($C14-SUM($I14:BG14))/($A14-COUNTA($I14:BG14)))</f>
        <v>0</v>
      </c>
      <c r="BI14" s="7">
        <f>IF(ISERROR(($C14-SUM($I14:BH14))/($A14-COUNTA($I14:BH14))),0,($C14-SUM($I14:BH14))/($A14-COUNTA($I14:BH14)))</f>
        <v>0</v>
      </c>
    </row>
    <row r="15" spans="1:61" x14ac:dyDescent="0.3">
      <c r="A15">
        <v>0</v>
      </c>
      <c r="C15">
        <v>0</v>
      </c>
      <c r="D15">
        <f t="shared" si="1"/>
        <v>0</v>
      </c>
      <c r="E15">
        <f t="shared" si="0"/>
        <v>0</v>
      </c>
      <c r="F15" t="s">
        <v>17</v>
      </c>
    </row>
    <row r="16" spans="1:61" x14ac:dyDescent="0.3">
      <c r="A16">
        <v>0</v>
      </c>
      <c r="C16">
        <v>0</v>
      </c>
      <c r="D16">
        <f t="shared" si="1"/>
        <v>0</v>
      </c>
      <c r="E16">
        <f t="shared" si="0"/>
        <v>0</v>
      </c>
      <c r="F16" t="s">
        <v>18</v>
      </c>
    </row>
    <row r="17" spans="1:61" x14ac:dyDescent="0.3">
      <c r="A17">
        <v>0</v>
      </c>
      <c r="C17">
        <v>0</v>
      </c>
      <c r="D17">
        <f t="shared" si="1"/>
        <v>0</v>
      </c>
      <c r="E17">
        <f t="shared" si="0"/>
        <v>0</v>
      </c>
      <c r="F17" t="s">
        <v>19</v>
      </c>
    </row>
    <row r="18" spans="1:61" x14ac:dyDescent="0.3">
      <c r="A18">
        <v>0</v>
      </c>
      <c r="C18">
        <v>0</v>
      </c>
      <c r="D18">
        <f t="shared" si="1"/>
        <v>2</v>
      </c>
      <c r="E18">
        <f t="shared" si="0"/>
        <v>-2</v>
      </c>
      <c r="F18" t="s">
        <v>20</v>
      </c>
      <c r="I18" s="6">
        <v>2</v>
      </c>
    </row>
    <row r="19" spans="1:61" s="1" customFormat="1" x14ac:dyDescent="0.3">
      <c r="A19">
        <v>0</v>
      </c>
      <c r="B19"/>
      <c r="C19" s="1">
        <v>0</v>
      </c>
      <c r="D19" s="1">
        <f t="shared" si="1"/>
        <v>0</v>
      </c>
      <c r="E19" s="1">
        <f t="shared" si="0"/>
        <v>0</v>
      </c>
      <c r="F19" s="1" t="s">
        <v>21</v>
      </c>
    </row>
    <row r="20" spans="1:61" x14ac:dyDescent="0.3">
      <c r="F20" s="3" t="s">
        <v>37</v>
      </c>
      <c r="G20">
        <f>SUM(G11:G19)</f>
        <v>0</v>
      </c>
      <c r="H20">
        <f>SUM(H8:H19)</f>
        <v>960</v>
      </c>
      <c r="I20">
        <f>SUM(I5:I19)</f>
        <v>153.5</v>
      </c>
      <c r="J20">
        <f t="shared" ref="J20:BI20" si="2">SUM(J5:J19)</f>
        <v>143.5</v>
      </c>
      <c r="K20">
        <f>SUM(K5:K19)</f>
        <v>292.31439393939394</v>
      </c>
      <c r="L20">
        <f t="shared" si="2"/>
        <v>292.31439393939394</v>
      </c>
      <c r="M20" s="7">
        <f>SUM(M5:M19)</f>
        <v>252.31439393939394</v>
      </c>
      <c r="N20">
        <f t="shared" si="2"/>
        <v>252.31439393939394</v>
      </c>
      <c r="O20">
        <f t="shared" si="2"/>
        <v>252.31439393939394</v>
      </c>
      <c r="P20">
        <f t="shared" si="2"/>
        <v>252.31439393939397</v>
      </c>
      <c r="Q20">
        <f t="shared" si="2"/>
        <v>240.14772727272725</v>
      </c>
      <c r="R20">
        <f t="shared" si="2"/>
        <v>240.14772727272728</v>
      </c>
      <c r="S20">
        <f t="shared" si="2"/>
        <v>240.14772727272725</v>
      </c>
      <c r="T20">
        <f t="shared" si="2"/>
        <v>240.14772727272725</v>
      </c>
      <c r="U20">
        <f t="shared" si="2"/>
        <v>195.64772727272725</v>
      </c>
      <c r="V20">
        <f t="shared" si="2"/>
        <v>195.64772727272725</v>
      </c>
      <c r="W20">
        <f t="shared" si="2"/>
        <v>155.64772727272725</v>
      </c>
      <c r="X20">
        <f t="shared" si="2"/>
        <v>155.64772727272725</v>
      </c>
      <c r="Y20">
        <f t="shared" si="2"/>
        <v>113.39772727272728</v>
      </c>
      <c r="Z20">
        <f t="shared" si="2"/>
        <v>113.39772727272729</v>
      </c>
      <c r="AA20">
        <f t="shared" si="2"/>
        <v>113.39772727272728</v>
      </c>
      <c r="AB20">
        <f t="shared" si="2"/>
        <v>113.39772727272728</v>
      </c>
      <c r="AC20">
        <f t="shared" si="2"/>
        <v>113.39772727272728</v>
      </c>
      <c r="AD20">
        <f t="shared" si="2"/>
        <v>113.39772727272725</v>
      </c>
      <c r="AE20">
        <f t="shared" si="2"/>
        <v>113.39772727272725</v>
      </c>
      <c r="AF20">
        <f t="shared" si="2"/>
        <v>113.39772727272725</v>
      </c>
      <c r="AG20">
        <f t="shared" si="2"/>
        <v>34.124999999999993</v>
      </c>
      <c r="AH20">
        <f t="shared" si="2"/>
        <v>34.124999999999986</v>
      </c>
      <c r="AI20">
        <f t="shared" si="2"/>
        <v>34.124999999999986</v>
      </c>
      <c r="AJ20">
        <f t="shared" si="2"/>
        <v>34.124999999999986</v>
      </c>
      <c r="AK20">
        <f t="shared" si="2"/>
        <v>34.124999999999986</v>
      </c>
      <c r="AL20">
        <f t="shared" si="2"/>
        <v>34.124999999999986</v>
      </c>
      <c r="AM20">
        <f t="shared" si="2"/>
        <v>34.124999999999986</v>
      </c>
      <c r="AN20">
        <f t="shared" si="2"/>
        <v>34.124999999999979</v>
      </c>
      <c r="AO20">
        <f t="shared" si="2"/>
        <v>34.124999999999972</v>
      </c>
      <c r="AP20">
        <f t="shared" si="2"/>
        <v>34.124999999999979</v>
      </c>
      <c r="AQ20">
        <f t="shared" si="2"/>
        <v>34.124999999999972</v>
      </c>
      <c r="AR20">
        <f t="shared" si="2"/>
        <v>34.124999999999972</v>
      </c>
      <c r="AS20">
        <f t="shared" si="2"/>
        <v>34.124999999999964</v>
      </c>
      <c r="AT20">
        <f t="shared" si="2"/>
        <v>34.124999999999957</v>
      </c>
      <c r="AU20">
        <f t="shared" si="2"/>
        <v>34.124999999999957</v>
      </c>
      <c r="AV20">
        <f t="shared" si="2"/>
        <v>34.124999999999957</v>
      </c>
      <c r="AW20">
        <f t="shared" si="2"/>
        <v>34.124999999999943</v>
      </c>
      <c r="AX20">
        <f t="shared" si="2"/>
        <v>34.124999999999929</v>
      </c>
      <c r="AY20">
        <f t="shared" si="2"/>
        <v>34.124999999999943</v>
      </c>
      <c r="AZ20">
        <f t="shared" si="2"/>
        <v>34.124999999999964</v>
      </c>
      <c r="BA20">
        <f t="shared" si="2"/>
        <v>34.124999999999943</v>
      </c>
      <c r="BB20">
        <f t="shared" si="2"/>
        <v>34.124999999999886</v>
      </c>
      <c r="BC20">
        <f t="shared" si="2"/>
        <v>0</v>
      </c>
      <c r="BD20">
        <f t="shared" si="2"/>
        <v>0</v>
      </c>
      <c r="BE20">
        <f t="shared" si="2"/>
        <v>0</v>
      </c>
      <c r="BF20">
        <f t="shared" si="2"/>
        <v>0</v>
      </c>
      <c r="BG20">
        <f t="shared" si="2"/>
        <v>0</v>
      </c>
      <c r="BH20">
        <f t="shared" si="2"/>
        <v>0</v>
      </c>
      <c r="BI20">
        <f t="shared" si="2"/>
        <v>0</v>
      </c>
    </row>
    <row r="22" spans="1:61" x14ac:dyDescent="0.3">
      <c r="F22" t="s">
        <v>36</v>
      </c>
      <c r="H22" s="4">
        <f t="shared" ref="H22:AM22" si="3">H20/H2</f>
        <v>5.1891891891891895</v>
      </c>
      <c r="I22" s="4">
        <f t="shared" si="3"/>
        <v>0.82972972972972969</v>
      </c>
      <c r="J22" s="4">
        <f t="shared" si="3"/>
        <v>0.77567567567567564</v>
      </c>
      <c r="K22" s="4">
        <f t="shared" si="3"/>
        <v>1.580077805077805</v>
      </c>
      <c r="L22" s="4">
        <f t="shared" si="3"/>
        <v>1.580077805077805</v>
      </c>
      <c r="M22" s="4">
        <f t="shared" si="3"/>
        <v>1.3638615888615888</v>
      </c>
      <c r="N22" s="4">
        <f t="shared" si="3"/>
        <v>1.3638615888615888</v>
      </c>
      <c r="O22" s="4">
        <f t="shared" si="3"/>
        <v>1.3638615888615888</v>
      </c>
      <c r="P22" s="4">
        <f t="shared" si="3"/>
        <v>1.363861588861589</v>
      </c>
      <c r="Q22" s="4">
        <f t="shared" si="3"/>
        <v>1.2980958230958231</v>
      </c>
      <c r="R22" s="4">
        <f t="shared" si="3"/>
        <v>1.2980958230958231</v>
      </c>
      <c r="S22" s="4">
        <f t="shared" si="3"/>
        <v>1.2980958230958231</v>
      </c>
      <c r="T22" s="4">
        <f t="shared" si="3"/>
        <v>1.2980958230958231</v>
      </c>
      <c r="U22" s="4">
        <f t="shared" si="3"/>
        <v>1.0575552825552825</v>
      </c>
      <c r="V22" s="4">
        <f t="shared" si="3"/>
        <v>1.0575552825552825</v>
      </c>
      <c r="W22" s="4">
        <f t="shared" si="3"/>
        <v>0.84133906633906619</v>
      </c>
      <c r="X22" s="4">
        <f t="shared" si="3"/>
        <v>0.84133906633906619</v>
      </c>
      <c r="Y22" s="4">
        <f t="shared" si="3"/>
        <v>0.61296068796068803</v>
      </c>
      <c r="Z22" s="4">
        <f t="shared" si="3"/>
        <v>0.61296068796068803</v>
      </c>
      <c r="AA22" s="4">
        <f t="shared" si="3"/>
        <v>0.61296068796068803</v>
      </c>
      <c r="AB22" s="4">
        <f t="shared" si="3"/>
        <v>0.61296068796068803</v>
      </c>
      <c r="AC22" s="4">
        <f t="shared" si="3"/>
        <v>0.61296068796068803</v>
      </c>
      <c r="AD22" s="4">
        <f t="shared" si="3"/>
        <v>0.61296068796068781</v>
      </c>
      <c r="AE22" s="4">
        <f t="shared" si="3"/>
        <v>0.61296068796068781</v>
      </c>
      <c r="AF22" s="4">
        <f t="shared" si="3"/>
        <v>0.61296068796068781</v>
      </c>
      <c r="AG22" s="4">
        <f t="shared" si="3"/>
        <v>0.18445945945945941</v>
      </c>
      <c r="AH22" s="4">
        <f t="shared" si="3"/>
        <v>0.18445945945945938</v>
      </c>
      <c r="AI22" s="4">
        <f t="shared" si="3"/>
        <v>0.18445945945945938</v>
      </c>
      <c r="AJ22" s="4">
        <f t="shared" si="3"/>
        <v>0.18445945945945938</v>
      </c>
      <c r="AK22" s="4">
        <f t="shared" si="3"/>
        <v>0.18445945945945938</v>
      </c>
      <c r="AL22" s="4">
        <f t="shared" si="3"/>
        <v>0.18445945945945938</v>
      </c>
      <c r="AM22" s="4">
        <f t="shared" si="3"/>
        <v>0.18445945945945938</v>
      </c>
      <c r="AN22" s="4">
        <f t="shared" ref="AN22:BI22" si="4">AN20/AN2</f>
        <v>0.18445945945945935</v>
      </c>
      <c r="AO22" s="4">
        <f t="shared" si="4"/>
        <v>0.1844594594594593</v>
      </c>
      <c r="AP22" s="4">
        <f t="shared" si="4"/>
        <v>0.18445945945945935</v>
      </c>
      <c r="AQ22" s="4">
        <f t="shared" si="4"/>
        <v>0.1844594594594593</v>
      </c>
      <c r="AR22" s="4">
        <f t="shared" si="4"/>
        <v>0.1844594594594593</v>
      </c>
      <c r="AS22" s="4">
        <f t="shared" si="4"/>
        <v>0.18445945945945927</v>
      </c>
      <c r="AT22" s="4">
        <f t="shared" si="4"/>
        <v>0.18445945945945924</v>
      </c>
      <c r="AU22" s="4">
        <f t="shared" si="4"/>
        <v>0.18445945945945924</v>
      </c>
      <c r="AV22" s="4">
        <f t="shared" si="4"/>
        <v>0.18445945945945924</v>
      </c>
      <c r="AW22" s="4">
        <f t="shared" si="4"/>
        <v>0.18445945945945916</v>
      </c>
      <c r="AX22" s="4">
        <f t="shared" si="4"/>
        <v>0.18445945945945907</v>
      </c>
      <c r="AY22" s="4">
        <f t="shared" si="4"/>
        <v>0.18445945945945916</v>
      </c>
      <c r="AZ22" s="4">
        <f t="shared" si="4"/>
        <v>0.18445945945945927</v>
      </c>
      <c r="BA22" s="4">
        <f t="shared" si="4"/>
        <v>0.18445945945945916</v>
      </c>
      <c r="BB22" s="4">
        <f t="shared" si="4"/>
        <v>0.18445945945945885</v>
      </c>
      <c r="BC22" s="4">
        <f t="shared" si="4"/>
        <v>0</v>
      </c>
      <c r="BD22" s="4">
        <f t="shared" si="4"/>
        <v>0</v>
      </c>
      <c r="BE22" s="4">
        <f t="shared" si="4"/>
        <v>0</v>
      </c>
      <c r="BF22" s="4">
        <f t="shared" si="4"/>
        <v>0</v>
      </c>
      <c r="BG22" s="4">
        <f t="shared" si="4"/>
        <v>0</v>
      </c>
      <c r="BH22" s="4">
        <f t="shared" si="4"/>
        <v>0</v>
      </c>
      <c r="BI22" s="4">
        <f t="shared" si="4"/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6AF9-92D0-4DD7-8F8E-92EEFEE8E969}">
  <dimension ref="B3:D6"/>
  <sheetViews>
    <sheetView workbookViewId="0">
      <selection activeCell="B3" sqref="B3:D6"/>
    </sheetView>
  </sheetViews>
  <sheetFormatPr baseColWidth="10" defaultRowHeight="14.4" x14ac:dyDescent="0.3"/>
  <sheetData>
    <row r="3" spans="2:4" x14ac:dyDescent="0.3">
      <c r="B3" t="s">
        <v>1</v>
      </c>
      <c r="C3" t="s">
        <v>5</v>
      </c>
      <c r="D3">
        <v>35</v>
      </c>
    </row>
    <row r="4" spans="2:4" x14ac:dyDescent="0.3">
      <c r="B4" t="s">
        <v>2</v>
      </c>
      <c r="C4" t="s">
        <v>6</v>
      </c>
      <c r="D4">
        <v>35</v>
      </c>
    </row>
    <row r="5" spans="2:4" x14ac:dyDescent="0.3">
      <c r="B5" t="s">
        <v>3</v>
      </c>
      <c r="C5" t="s">
        <v>7</v>
      </c>
      <c r="D5">
        <v>35</v>
      </c>
    </row>
    <row r="6" spans="2:4" x14ac:dyDescent="0.3">
      <c r="B6" t="s">
        <v>4</v>
      </c>
      <c r="C6" t="s">
        <v>6</v>
      </c>
      <c r="D6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0F4C-925C-4740-8D6E-7DC4C5CAFD75}">
  <dimension ref="A1:BI27"/>
  <sheetViews>
    <sheetView tabSelected="1" workbookViewId="0">
      <selection activeCell="F26" sqref="F26"/>
    </sheetView>
  </sheetViews>
  <sheetFormatPr baseColWidth="10" defaultColWidth="8.88671875" defaultRowHeight="14.4" x14ac:dyDescent="0.3"/>
  <cols>
    <col min="2" max="2" width="9.5546875" bestFit="1" customWidth="1"/>
    <col min="3" max="3" width="13.21875" bestFit="1" customWidth="1"/>
    <col min="4" max="4" width="11.33203125" bestFit="1" customWidth="1"/>
    <col min="6" max="6" width="16.21875" bestFit="1" customWidth="1"/>
    <col min="8" max="8" width="11.33203125" bestFit="1" customWidth="1"/>
    <col min="12" max="12" width="11.33203125" bestFit="1" customWidth="1"/>
    <col min="13" max="14" width="19.33203125" bestFit="1" customWidth="1"/>
  </cols>
  <sheetData>
    <row r="1" spans="1:61" x14ac:dyDescent="0.3">
      <c r="G1" t="s">
        <v>22</v>
      </c>
      <c r="H1" t="s">
        <v>22</v>
      </c>
      <c r="I1" t="s">
        <v>22</v>
      </c>
      <c r="J1" t="s">
        <v>23</v>
      </c>
      <c r="K1" t="s">
        <v>23</v>
      </c>
      <c r="L1" t="s">
        <v>23</v>
      </c>
      <c r="M1" t="s">
        <v>23</v>
      </c>
      <c r="N1" t="s">
        <v>25</v>
      </c>
      <c r="O1" t="s">
        <v>24</v>
      </c>
      <c r="P1" t="s">
        <v>24</v>
      </c>
      <c r="Q1" t="s">
        <v>24</v>
      </c>
      <c r="R1" t="s">
        <v>24</v>
      </c>
      <c r="S1" t="s">
        <v>26</v>
      </c>
      <c r="T1" t="s">
        <v>26</v>
      </c>
      <c r="U1" t="s">
        <v>26</v>
      </c>
      <c r="V1" t="s">
        <v>26</v>
      </c>
      <c r="W1" t="s">
        <v>27</v>
      </c>
      <c r="X1" t="s">
        <v>27</v>
      </c>
      <c r="Y1" t="s">
        <v>27</v>
      </c>
      <c r="Z1" t="s">
        <v>27</v>
      </c>
      <c r="AA1" t="s">
        <v>28</v>
      </c>
      <c r="AB1" t="s">
        <v>28</v>
      </c>
      <c r="AC1" t="s">
        <v>28</v>
      </c>
      <c r="AD1" t="s">
        <v>28</v>
      </c>
      <c r="AE1" t="s">
        <v>28</v>
      </c>
      <c r="AF1" t="s">
        <v>29</v>
      </c>
      <c r="AG1" t="s">
        <v>29</v>
      </c>
      <c r="AH1" t="s">
        <v>29</v>
      </c>
      <c r="AI1" t="s">
        <v>29</v>
      </c>
      <c r="AJ1" t="s">
        <v>30</v>
      </c>
      <c r="AK1" t="s">
        <v>30</v>
      </c>
      <c r="AL1" t="s">
        <v>30</v>
      </c>
      <c r="AM1" t="s">
        <v>30</v>
      </c>
      <c r="AN1" t="s">
        <v>31</v>
      </c>
      <c r="AO1" t="s">
        <v>32</v>
      </c>
      <c r="AP1" t="s">
        <v>32</v>
      </c>
      <c r="AQ1" t="s">
        <v>32</v>
      </c>
      <c r="AR1" t="s">
        <v>32</v>
      </c>
      <c r="AS1" t="s">
        <v>33</v>
      </c>
      <c r="AT1" t="s">
        <v>33</v>
      </c>
      <c r="AU1" t="s">
        <v>33</v>
      </c>
      <c r="AV1" t="s">
        <v>33</v>
      </c>
      <c r="AW1" t="s">
        <v>34</v>
      </c>
      <c r="AX1" t="s">
        <v>34</v>
      </c>
      <c r="AY1" t="s">
        <v>34</v>
      </c>
      <c r="AZ1" t="s">
        <v>34</v>
      </c>
      <c r="BA1" t="s">
        <v>34</v>
      </c>
      <c r="BB1" t="s">
        <v>39</v>
      </c>
      <c r="BC1" t="s">
        <v>39</v>
      </c>
      <c r="BD1" t="s">
        <v>39</v>
      </c>
      <c r="BE1" t="s">
        <v>39</v>
      </c>
      <c r="BF1" t="s">
        <v>22</v>
      </c>
      <c r="BG1" t="s">
        <v>22</v>
      </c>
      <c r="BH1" t="s">
        <v>22</v>
      </c>
      <c r="BI1" t="s">
        <v>22</v>
      </c>
    </row>
    <row r="2" spans="1:61" x14ac:dyDescent="0.3">
      <c r="D2" s="9"/>
      <c r="F2" t="s">
        <v>35</v>
      </c>
      <c r="G2">
        <v>185</v>
      </c>
      <c r="H2">
        <v>185</v>
      </c>
      <c r="I2">
        <v>185</v>
      </c>
      <c r="J2">
        <v>185</v>
      </c>
      <c r="K2">
        <v>185</v>
      </c>
      <c r="L2">
        <v>185</v>
      </c>
      <c r="M2">
        <v>185</v>
      </c>
      <c r="N2">
        <v>185</v>
      </c>
      <c r="O2">
        <v>185</v>
      </c>
      <c r="P2">
        <v>185</v>
      </c>
      <c r="Q2">
        <v>185</v>
      </c>
      <c r="R2">
        <v>185</v>
      </c>
      <c r="S2">
        <v>185</v>
      </c>
      <c r="T2">
        <v>185</v>
      </c>
      <c r="U2">
        <v>185</v>
      </c>
      <c r="V2">
        <v>185</v>
      </c>
      <c r="W2">
        <v>185</v>
      </c>
      <c r="X2">
        <v>185</v>
      </c>
      <c r="Y2">
        <v>185</v>
      </c>
      <c r="Z2">
        <v>185</v>
      </c>
      <c r="AA2">
        <v>185</v>
      </c>
      <c r="AB2">
        <v>185</v>
      </c>
      <c r="AC2">
        <v>185</v>
      </c>
      <c r="AD2">
        <v>185</v>
      </c>
      <c r="AE2">
        <v>185</v>
      </c>
      <c r="AF2">
        <v>185</v>
      </c>
      <c r="AG2">
        <v>185</v>
      </c>
      <c r="AH2">
        <v>185</v>
      </c>
      <c r="AI2">
        <v>185</v>
      </c>
      <c r="AJ2">
        <v>185</v>
      </c>
      <c r="AK2">
        <v>185</v>
      </c>
      <c r="AL2">
        <v>185</v>
      </c>
      <c r="AM2">
        <v>185</v>
      </c>
      <c r="AN2">
        <v>185</v>
      </c>
      <c r="AO2">
        <v>185</v>
      </c>
      <c r="AP2">
        <v>185</v>
      </c>
      <c r="AQ2">
        <v>185</v>
      </c>
      <c r="AR2">
        <v>185</v>
      </c>
      <c r="AS2">
        <v>185</v>
      </c>
      <c r="AT2">
        <v>185</v>
      </c>
      <c r="AU2">
        <v>185</v>
      </c>
      <c r="AV2">
        <v>185</v>
      </c>
      <c r="AW2">
        <v>185</v>
      </c>
      <c r="AX2">
        <v>185</v>
      </c>
      <c r="AY2">
        <v>185</v>
      </c>
      <c r="AZ2">
        <v>185</v>
      </c>
      <c r="BA2">
        <v>185</v>
      </c>
      <c r="BB2">
        <v>185</v>
      </c>
      <c r="BC2">
        <v>185</v>
      </c>
      <c r="BD2">
        <v>185</v>
      </c>
      <c r="BE2">
        <v>185</v>
      </c>
      <c r="BF2">
        <v>185</v>
      </c>
      <c r="BG2">
        <v>185</v>
      </c>
      <c r="BH2">
        <v>185</v>
      </c>
      <c r="BI2">
        <v>185</v>
      </c>
    </row>
    <row r="3" spans="1:61" x14ac:dyDescent="0.3">
      <c r="D3" s="9"/>
      <c r="F3" s="2" t="s">
        <v>0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22</v>
      </c>
      <c r="W3">
        <v>23</v>
      </c>
      <c r="X3">
        <v>24</v>
      </c>
      <c r="Y3">
        <v>25</v>
      </c>
      <c r="Z3">
        <v>26</v>
      </c>
      <c r="AA3">
        <v>27</v>
      </c>
      <c r="AB3">
        <v>28</v>
      </c>
      <c r="AC3">
        <v>29</v>
      </c>
      <c r="AD3">
        <v>30</v>
      </c>
      <c r="AE3">
        <v>31</v>
      </c>
      <c r="AF3">
        <v>32</v>
      </c>
      <c r="AG3">
        <v>33</v>
      </c>
      <c r="AH3">
        <v>34</v>
      </c>
      <c r="AI3">
        <v>35</v>
      </c>
      <c r="AJ3">
        <v>36</v>
      </c>
      <c r="AK3">
        <v>37</v>
      </c>
      <c r="AL3">
        <v>38</v>
      </c>
      <c r="AM3">
        <v>39</v>
      </c>
      <c r="AN3">
        <v>40</v>
      </c>
      <c r="AO3">
        <v>41</v>
      </c>
      <c r="AP3">
        <v>42</v>
      </c>
      <c r="AQ3">
        <v>43</v>
      </c>
      <c r="AR3">
        <v>44</v>
      </c>
      <c r="AS3">
        <v>45</v>
      </c>
      <c r="AT3">
        <v>46</v>
      </c>
      <c r="AU3">
        <v>47</v>
      </c>
      <c r="AV3">
        <v>48</v>
      </c>
      <c r="AW3">
        <v>49</v>
      </c>
      <c r="AX3">
        <v>50</v>
      </c>
      <c r="AY3">
        <v>51</v>
      </c>
      <c r="AZ3">
        <v>52</v>
      </c>
      <c r="BA3">
        <v>53</v>
      </c>
      <c r="BB3">
        <v>1</v>
      </c>
      <c r="BC3">
        <v>2</v>
      </c>
      <c r="BD3">
        <v>3</v>
      </c>
      <c r="BE3">
        <v>4</v>
      </c>
      <c r="BF3">
        <v>5</v>
      </c>
      <c r="BG3">
        <v>6</v>
      </c>
      <c r="BH3">
        <v>7</v>
      </c>
      <c r="BI3">
        <v>8</v>
      </c>
    </row>
    <row r="4" spans="1:61" x14ac:dyDescent="0.3">
      <c r="A4" s="5" t="s">
        <v>38</v>
      </c>
      <c r="B4" s="5" t="s">
        <v>43</v>
      </c>
      <c r="C4" s="5" t="s">
        <v>40</v>
      </c>
      <c r="D4" s="5" t="s">
        <v>41</v>
      </c>
      <c r="E4" s="5" t="s">
        <v>42</v>
      </c>
    </row>
    <row r="5" spans="1:61" x14ac:dyDescent="0.3">
      <c r="A5">
        <v>46</v>
      </c>
      <c r="B5">
        <v>1</v>
      </c>
      <c r="C5">
        <v>690</v>
      </c>
      <c r="D5">
        <f>SUM(I5:J5)</f>
        <v>58</v>
      </c>
      <c r="E5">
        <f>C5-D5</f>
        <v>632</v>
      </c>
      <c r="F5" t="s">
        <v>14</v>
      </c>
      <c r="G5">
        <f>A5-COUNTA($I$5:J5)</f>
        <v>44</v>
      </c>
      <c r="I5" s="6">
        <v>29</v>
      </c>
      <c r="J5" s="6">
        <v>29</v>
      </c>
      <c r="K5" s="7">
        <f>IF(ISERROR(($C5-SUM($I5:J5))/($A5-COUNTA($I5:J5))),0,($C5-SUM($I5:J5))/($A5-COUNTA($I5:J5)))</f>
        <v>14.363636363636363</v>
      </c>
      <c r="L5" s="7">
        <f>IF(ISERROR(($C5-SUM($I5:K5))/($A5-COUNTA($I5:K5))),0,($C5-SUM($I5:K5))/($A5-COUNTA($I5:K5)))</f>
        <v>14.363636363636363</v>
      </c>
      <c r="M5" s="7">
        <f>IF(ISERROR(($C5-SUM($I5:L5))/($A5-COUNTA($I5:L5))),0,($C5-SUM($I5:L5))/($A5-COUNTA($I5:L5)))</f>
        <v>14.363636363636363</v>
      </c>
      <c r="N5" s="7">
        <f>IF(ISERROR(($C5-SUM($I5:M5))/($A5-COUNTA($I5:M5))),0,($C5-SUM($I5:M5))/($A5-COUNTA($I5:M5)))</f>
        <v>14.363636363636363</v>
      </c>
      <c r="O5" s="7">
        <f>IF(ISERROR(($C5-SUM($I5:N5))/($A5-COUNTA($I5:N5))),0,($C5-SUM($I5:N5))/($A5-COUNTA($I5:N5)))</f>
        <v>14.363636363636363</v>
      </c>
      <c r="P5" s="7">
        <f>IF(ISERROR(($C5-SUM($I5:O5))/($A5-COUNTA($I5:O5))),0,($C5-SUM($I5:O5))/($A5-COUNTA($I5:O5)))</f>
        <v>14.363636363636365</v>
      </c>
      <c r="Q5" s="7">
        <f>IF(ISERROR(($C5-SUM($I5:P5))/($A5-COUNTA($I5:P5))),0,($C5-SUM($I5:P5))/($A5-COUNTA($I5:P5)))</f>
        <v>14.363636363636362</v>
      </c>
      <c r="R5" s="7">
        <f>IF(ISERROR(($C5-SUM($I5:Q5))/($A5-COUNTA($I5:Q5))),0,($C5-SUM($I5:Q5))/($A5-COUNTA($I5:Q5)))</f>
        <v>14.363636363636365</v>
      </c>
      <c r="S5" s="7">
        <f>IF(ISERROR(($C5-SUM($I5:R5))/($A5-COUNTA($I5:R5))),0,($C5-SUM($I5:R5))/($A5-COUNTA($I5:R5)))</f>
        <v>14.363636363636362</v>
      </c>
      <c r="T5" s="7">
        <f>IF(ISERROR(($C5-SUM($I5:S5))/($A5-COUNTA($I5:S5))),0,($C5-SUM($I5:S5))/($A5-COUNTA($I5:S5)))</f>
        <v>14.363636363636363</v>
      </c>
      <c r="U5" s="7">
        <f>IF(ISERROR(($C5-SUM($I5:T5))/($A5-COUNTA($I5:T5))),0,($C5-SUM($I5:T5))/($A5-COUNTA($I5:T5)))</f>
        <v>14.363636363636362</v>
      </c>
      <c r="V5" s="7">
        <f>IF(ISERROR(($C5-SUM($I5:U5))/($A5-COUNTA($I5:U5))),0,($C5-SUM($I5:U5))/($A5-COUNTA($I5:U5)))</f>
        <v>14.363636363636362</v>
      </c>
      <c r="W5" s="7">
        <f>IF(ISERROR(($C5-SUM($I5:V5))/($A5-COUNTA($I5:V5))),0,($C5-SUM($I5:V5))/($A5-COUNTA($I5:V5)))</f>
        <v>14.363636363636362</v>
      </c>
      <c r="X5" s="7">
        <f>IF(ISERROR(($C5-SUM($I5:W5))/($A5-COUNTA($I5:W5))),0,($C5-SUM($I5:W5))/($A5-COUNTA($I5:W5)))</f>
        <v>14.363636363636362</v>
      </c>
      <c r="Y5" s="7">
        <f>IF(ISERROR(($C5-SUM($I5:X5))/($A5-COUNTA($I5:X5))),0,($C5-SUM($I5:X5))/($A5-COUNTA($I5:X5)))</f>
        <v>14.363636363636362</v>
      </c>
      <c r="Z5" s="7">
        <f>IF(ISERROR(($C5-SUM($I5:Y5))/($A5-COUNTA($I5:Y5))),0,($C5-SUM($I5:Y5))/($A5-COUNTA($I5:Y5)))</f>
        <v>14.36363636363636</v>
      </c>
      <c r="AA5" s="7">
        <f>IF(ISERROR(($C5-SUM($I5:Z5))/($A5-COUNTA($I5:Z5))),0,($C5-SUM($I5:Z5))/($A5-COUNTA($I5:Z5)))</f>
        <v>14.36363636363636</v>
      </c>
      <c r="AB5" s="7">
        <f>IF(ISERROR(($C5-SUM($I5:AA5))/($A5-COUNTA($I5:AA5))),0,($C5-SUM($I5:AA5))/($A5-COUNTA($I5:AA5)))</f>
        <v>14.36363636363636</v>
      </c>
      <c r="AC5" s="7">
        <f>IF(ISERROR(($C5-SUM($I5:AB5))/($A5-COUNTA($I5:AB5))),0,($C5-SUM($I5:AB5))/($A5-COUNTA($I5:AB5)))</f>
        <v>14.363636363636358</v>
      </c>
      <c r="AD5" s="7">
        <f>IF(ISERROR(($C5-SUM($I5:AC5))/($A5-COUNTA($I5:AC5))),0,($C5-SUM($I5:AC5))/($A5-COUNTA($I5:AC5)))</f>
        <v>14.363636363636358</v>
      </c>
      <c r="AE5" s="7">
        <f>IF(ISERROR(($C5-SUM($I5:AD5))/($A5-COUNTA($I5:AD5))),0,($C5-SUM($I5:AD5))/($A5-COUNTA($I5:AD5)))</f>
        <v>14.363636363636358</v>
      </c>
      <c r="AF5" s="7">
        <f>IF(ISERROR(($C5-SUM($I5:AE5))/($A5-COUNTA($I5:AE5))),0,($C5-SUM($I5:AE5))/($A5-COUNTA($I5:AE5)))</f>
        <v>14.363636363636356</v>
      </c>
      <c r="AG5" s="7">
        <f>IF(ISERROR(($C5-SUM($I5:AF5))/($A5-COUNTA($I5:AF5))),0,($C5-SUM($I5:AF5))/($A5-COUNTA($I5:AF5)))</f>
        <v>14.363636363636356</v>
      </c>
      <c r="AH5" s="7">
        <f>IF(ISERROR(($C5-SUM($I5:AG5))/($A5-COUNTA($I5:AG5))),0,($C5-SUM($I5:AG5))/($A5-COUNTA($I5:AG5)))</f>
        <v>14.363636363636354</v>
      </c>
      <c r="AI5" s="7">
        <f>IF(ISERROR(($C5-SUM($I5:AH5))/($A5-COUNTA($I5:AH5))),0,($C5-SUM($I5:AH5))/($A5-COUNTA($I5:AH5)))</f>
        <v>14.363636363636354</v>
      </c>
      <c r="AJ5" s="7">
        <f>IF(ISERROR(($C5-SUM($I5:AI5))/($A5-COUNTA($I5:AI5))),0,($C5-SUM($I5:AI5))/($A5-COUNTA($I5:AI5)))</f>
        <v>14.363636363636353</v>
      </c>
      <c r="AK5" s="7">
        <f>IF(ISERROR(($C5-SUM($I5:AJ5))/($A5-COUNTA($I5:AJ5))),0,($C5-SUM($I5:AJ5))/($A5-COUNTA($I5:AJ5)))</f>
        <v>14.363636363636353</v>
      </c>
      <c r="AL5" s="7">
        <f>IF(ISERROR(($C5-SUM($I5:AK5))/($A5-COUNTA($I5:AK5))),0,($C5-SUM($I5:AK5))/($A5-COUNTA($I5:AK5)))</f>
        <v>14.363636363636351</v>
      </c>
      <c r="AM5" s="7">
        <f>IF(ISERROR(($C5-SUM($I5:AL5))/($A5-COUNTA($I5:AL5))),0,($C5-SUM($I5:AL5))/($A5-COUNTA($I5:AL5)))</f>
        <v>14.363636363636349</v>
      </c>
      <c r="AN5" s="7">
        <f>IF(ISERROR(($C5-SUM($I5:AM5))/($A5-COUNTA($I5:AM5))),0,($C5-SUM($I5:AM5))/($A5-COUNTA($I5:AM5)))</f>
        <v>14.363636363636347</v>
      </c>
      <c r="AO5" s="7">
        <f>IF(ISERROR(($C5-SUM($I5:AN5))/($A5-COUNTA($I5:AN5))),0,($C5-SUM($I5:AN5))/($A5-COUNTA($I5:AN5)))</f>
        <v>14.363636363636346</v>
      </c>
      <c r="AP5" s="7">
        <f>IF(ISERROR(($C5-SUM($I5:AO5))/($A5-COUNTA($I5:AO5))),0,($C5-SUM($I5:AO5))/($A5-COUNTA($I5:AO5)))</f>
        <v>14.363636363636347</v>
      </c>
      <c r="AQ5" s="7">
        <f>IF(ISERROR(($C5-SUM($I5:AP5))/($A5-COUNTA($I5:AP5))),0,($C5-SUM($I5:AP5))/($A5-COUNTA($I5:AP5)))</f>
        <v>14.363636363636346</v>
      </c>
      <c r="AR5" s="7">
        <f>IF(ISERROR(($C5-SUM($I5:AQ5))/($A5-COUNTA($I5:AQ5))),0,($C5-SUM($I5:AQ5))/($A5-COUNTA($I5:AQ5)))</f>
        <v>14.363636363636344</v>
      </c>
      <c r="AS5" s="7">
        <f>IF(ISERROR(($C5-SUM($I5:AR5))/($A5-COUNTA($I5:AR5))),0,($C5-SUM($I5:AR5))/($A5-COUNTA($I5:AR5)))</f>
        <v>14.36363636363634</v>
      </c>
      <c r="AT5" s="7">
        <f>IF(ISERROR(($C5-SUM($I5:AS5))/($A5-COUNTA($I5:AS5))),0,($C5-SUM($I5:AS5))/($A5-COUNTA($I5:AS5)))</f>
        <v>14.363636363636337</v>
      </c>
      <c r="AU5" s="7">
        <f>IF(ISERROR(($C5-SUM($I5:AT5))/($A5-COUNTA($I5:AT5))),0,($C5-SUM($I5:AT5))/($A5-COUNTA($I5:AT5)))</f>
        <v>14.363636363636331</v>
      </c>
      <c r="AV5" s="7">
        <f>IF(ISERROR(($C5-SUM($I5:AU5))/($A5-COUNTA($I5:AU5))),0,($C5-SUM($I5:AU5))/($A5-COUNTA($I5:AU5)))</f>
        <v>14.363636363636326</v>
      </c>
      <c r="AW5" s="7">
        <f>IF(ISERROR(($C5-SUM($I5:AV5))/($A5-COUNTA($I5:AV5))),0,($C5-SUM($I5:AV5))/($A5-COUNTA($I5:AV5)))</f>
        <v>14.363636363636317</v>
      </c>
      <c r="AX5" s="7">
        <f>IF(ISERROR(($C5-SUM($I5:AW5))/($A5-COUNTA($I5:AW5))),0,($C5-SUM($I5:AW5))/($A5-COUNTA($I5:AW5)))</f>
        <v>14.363636363636306</v>
      </c>
      <c r="AY5" s="7">
        <f>IF(ISERROR(($C5-SUM($I5:AX5))/($A5-COUNTA($I5:AX5))),0,($C5-SUM($I5:AX5))/($A5-COUNTA($I5:AX5)))</f>
        <v>14.363636363636317</v>
      </c>
      <c r="AZ5" s="7">
        <f>IF(ISERROR(($C5-SUM($I5:AY5))/($A5-COUNTA($I5:AY5))),0,($C5-SUM($I5:AY5))/($A5-COUNTA($I5:AY5)))</f>
        <v>14.363636363636337</v>
      </c>
      <c r="BA5" s="7">
        <f>IF(ISERROR(($C5-SUM($I5:AZ5))/($A5-COUNTA($I5:AZ5))),0,($C5-SUM($I5:AZ5))/($A5-COUNTA($I5:AZ5)))</f>
        <v>14.363636363636317</v>
      </c>
      <c r="BB5" s="7">
        <f>IF(ISERROR(($C5-SUM($I5:BA5))/($A5-COUNTA($I5:BA5))),0,($C5-SUM($I5:BA5))/($A5-COUNTA($I5:BA5)))</f>
        <v>14.36363636363626</v>
      </c>
      <c r="BC5" s="7">
        <f>IF(ISERROR(($C5-SUM($I5:BB5))/($A5-COUNTA($I5:BB5))),0,($C5-SUM($I5:BB5))/($A5-COUNTA($I5:BB5)))</f>
        <v>0</v>
      </c>
      <c r="BD5" s="7">
        <f>IF(ISERROR(($C5-SUM($I5:BC5))/($A5-COUNTA($I5:BC5))),0,($C5-SUM($I5:BC5))/($A5-COUNTA($I5:BC5)))</f>
        <v>0</v>
      </c>
      <c r="BE5" s="7">
        <f>IF(ISERROR(($C5-SUM($I5:BD5))/($A5-COUNTA($I5:BD5))),0,($C5-SUM($I5:BD5))/($A5-COUNTA($I5:BD5)))</f>
        <v>0</v>
      </c>
      <c r="BF5" s="7">
        <f>IF(ISERROR(($C5-SUM($I5:BE5))/($A5-COUNTA($I5:BE5))),0,($C5-SUM($I5:BE5))/($A5-COUNTA($I5:BE5)))</f>
        <v>0</v>
      </c>
      <c r="BG5" s="7">
        <f>IF(ISERROR(($C5-SUM($I5:BF5))/($A5-COUNTA($I5:BF5))),0,($C5-SUM($I5:BF5))/($A5-COUNTA($I5:BF5)))</f>
        <v>0</v>
      </c>
      <c r="BH5" s="7">
        <f>IF(ISERROR(($C5-SUM($I5:BG5))/($A5-COUNTA($I5:BG5))),0,($C5-SUM($I5:BG5))/($A5-COUNTA($I5:BG5)))</f>
        <v>0</v>
      </c>
      <c r="BI5" s="7">
        <f>IF(ISERROR(($C5-SUM($I5:BH5))/($A5-COUNTA($I5:BH5))),0,($C5-SUM($I5:BH5))/($A5-COUNTA($I5:BH5)))</f>
        <v>0</v>
      </c>
    </row>
    <row r="6" spans="1:61" x14ac:dyDescent="0.3">
      <c r="A6">
        <v>46</v>
      </c>
      <c r="B6">
        <v>1</v>
      </c>
      <c r="C6">
        <v>460</v>
      </c>
      <c r="D6">
        <f>SUM(I6:K6)</f>
        <v>26.090909090909093</v>
      </c>
      <c r="E6">
        <f t="shared" ref="E6:E18" si="0">C6-D6</f>
        <v>433.90909090909088</v>
      </c>
      <c r="F6" t="s">
        <v>13</v>
      </c>
      <c r="G6">
        <f>SUM(I$5:$K5)</f>
        <v>72.36363636363636</v>
      </c>
      <c r="I6" s="6">
        <v>8</v>
      </c>
      <c r="J6" s="6">
        <v>8</v>
      </c>
      <c r="K6" s="7">
        <f>IF(ISERROR(($C6-SUM($I6:J6))/($A6-COUNTA($I6:J6))),0,($C6-SUM($I6:J6))/($A6-COUNTA($I6:J6)))</f>
        <v>10.090909090909092</v>
      </c>
      <c r="L6" s="7">
        <f>IF(ISERROR(($C6-SUM($I6:K6))/($A6-COUNTA($I6:K6))),0,($C6-SUM($I6:K6))/($A6-COUNTA($I6:K6)))</f>
        <v>10.09090909090909</v>
      </c>
      <c r="M6" s="7">
        <f>IF(ISERROR(($C6-SUM($I6:L6))/($A6-COUNTA($I6:L6))),0,($C6-SUM($I6:L6))/($A6-COUNTA($I6:L6)))</f>
        <v>10.09090909090909</v>
      </c>
      <c r="N6" s="7">
        <f>IF(ISERROR(($C6-SUM($I6:M6))/($A6-COUNTA($I6:M6))),0,($C6-SUM($I6:M6))/($A6-COUNTA($I6:M6)))</f>
        <v>10.090909090909092</v>
      </c>
      <c r="O6" s="7">
        <f>IF(ISERROR(($C6-SUM($I6:N6))/($A6-COUNTA($I6:N6))),0,($C6-SUM($I6:N6))/($A6-COUNTA($I6:N6)))</f>
        <v>10.09090909090909</v>
      </c>
      <c r="P6" s="7">
        <f>IF(ISERROR(($C6-SUM($I6:O6))/($A6-COUNTA($I6:O6))),0,($C6-SUM($I6:O6))/($A6-COUNTA($I6:O6)))</f>
        <v>10.09090909090909</v>
      </c>
      <c r="Q6" s="7">
        <f>IF(ISERROR(($C6-SUM($I6:P6))/($A6-COUNTA($I6:P6))),0,($C6-SUM($I6:P6))/($A6-COUNTA($I6:P6)))</f>
        <v>10.09090909090909</v>
      </c>
      <c r="R6" s="7">
        <f>IF(ISERROR(($C6-SUM($I6:Q6))/($A6-COUNTA($I6:Q6))),0,($C6-SUM($I6:Q6))/($A6-COUNTA($I6:Q6)))</f>
        <v>10.090909090909092</v>
      </c>
      <c r="S6" s="7">
        <f>IF(ISERROR(($C6-SUM($I6:R6))/($A6-COUNTA($I6:R6))),0,($C6-SUM($I6:R6))/($A6-COUNTA($I6:R6)))</f>
        <v>10.09090909090909</v>
      </c>
      <c r="T6" s="7">
        <f>IF(ISERROR(($C6-SUM($I6:S6))/($A6-COUNTA($I6:S6))),0,($C6-SUM($I6:S6))/($A6-COUNTA($I6:S6)))</f>
        <v>10.09090909090909</v>
      </c>
      <c r="U6" s="7">
        <f>IF(ISERROR(($C6-SUM($I6:T6))/($A6-COUNTA($I6:T6))),0,($C6-SUM($I6:T6))/($A6-COUNTA($I6:T6)))</f>
        <v>10.09090909090909</v>
      </c>
      <c r="V6" s="7">
        <f>IF(ISERROR(($C6-SUM($I6:U6))/($A6-COUNTA($I6:U6))),0,($C6-SUM($I6:U6))/($A6-COUNTA($I6:U6)))</f>
        <v>10.090909090909092</v>
      </c>
      <c r="W6" s="7">
        <f>IF(ISERROR(($C6-SUM($I6:V6))/($A6-COUNTA($I6:V6))),0,($C6-SUM($I6:V6))/($A6-COUNTA($I6:V6)))</f>
        <v>10.09090909090909</v>
      </c>
      <c r="X6" s="7">
        <f>IF(ISERROR(($C6-SUM($I6:W6))/($A6-COUNTA($I6:W6))),0,($C6-SUM($I6:W6))/($A6-COUNTA($I6:W6)))</f>
        <v>10.090909090909088</v>
      </c>
      <c r="Y6" s="7">
        <f>IF(ISERROR(($C6-SUM($I6:X6))/($A6-COUNTA($I6:X6))),0,($C6-SUM($I6:X6))/($A6-COUNTA($I6:X6)))</f>
        <v>10.09090909090909</v>
      </c>
      <c r="Z6" s="7">
        <f>IF(ISERROR(($C6-SUM($I6:Y6))/($A6-COUNTA($I6:Y6))),0,($C6-SUM($I6:Y6))/($A6-COUNTA($I6:Y6)))</f>
        <v>10.09090909090909</v>
      </c>
      <c r="AA6" s="7">
        <f>IF(ISERROR(($C6-SUM($I6:Z6))/($A6-COUNTA($I6:Z6))),0,($C6-SUM($I6:Z6))/($A6-COUNTA($I6:Z6)))</f>
        <v>10.09090909090909</v>
      </c>
      <c r="AB6" s="7">
        <f>IF(ISERROR(($C6-SUM($I6:AA6))/($A6-COUNTA($I6:AA6))),0,($C6-SUM($I6:AA6))/($A6-COUNTA($I6:AA6)))</f>
        <v>10.090909090909088</v>
      </c>
      <c r="AC6" s="7">
        <f>IF(ISERROR(($C6-SUM($I6:AB6))/($A6-COUNTA($I6:AB6))),0,($C6-SUM($I6:AB6))/($A6-COUNTA($I6:AB6)))</f>
        <v>10.09090909090909</v>
      </c>
      <c r="AD6" s="7">
        <f>IF(ISERROR(($C6-SUM($I6:AC6))/($A6-COUNTA($I6:AC6))),0,($C6-SUM($I6:AC6))/($A6-COUNTA($I6:AC6)))</f>
        <v>10.090909090909088</v>
      </c>
      <c r="AE6" s="7">
        <f>IF(ISERROR(($C6-SUM($I6:AD6))/($A6-COUNTA($I6:AD6))),0,($C6-SUM($I6:AD6))/($A6-COUNTA($I6:AD6)))</f>
        <v>10.090909090909088</v>
      </c>
      <c r="AF6" s="7">
        <f>IF(ISERROR(($C6-SUM($I6:AE6))/($A6-COUNTA($I6:AE6))),0,($C6-SUM($I6:AE6))/($A6-COUNTA($I6:AE6)))</f>
        <v>10.090909090909088</v>
      </c>
      <c r="AG6" s="7">
        <f>IF(ISERROR(($C6-SUM($I6:AF6))/($A6-COUNTA($I6:AF6))),0,($C6-SUM($I6:AF6))/($A6-COUNTA($I6:AF6)))</f>
        <v>10.090909090909088</v>
      </c>
      <c r="AH6" s="7">
        <f>IF(ISERROR(($C6-SUM($I6:AG6))/($A6-COUNTA($I6:AG6))),0,($C6-SUM($I6:AG6))/($A6-COUNTA($I6:AG6)))</f>
        <v>10.090909090909088</v>
      </c>
      <c r="AI6" s="7">
        <f>IF(ISERROR(($C6-SUM($I6:AH6))/($A6-COUNTA($I6:AH6))),0,($C6-SUM($I6:AH6))/($A6-COUNTA($I6:AH6)))</f>
        <v>10.090909090909088</v>
      </c>
      <c r="AJ6" s="7">
        <f>IF(ISERROR(($C6-SUM($I6:AI6))/($A6-COUNTA($I6:AI6))),0,($C6-SUM($I6:AI6))/($A6-COUNTA($I6:AI6)))</f>
        <v>10.090909090909088</v>
      </c>
      <c r="AK6" s="7">
        <f>IF(ISERROR(($C6-SUM($I6:AJ6))/($A6-COUNTA($I6:AJ6))),0,($C6-SUM($I6:AJ6))/($A6-COUNTA($I6:AJ6)))</f>
        <v>10.09090909090909</v>
      </c>
      <c r="AL6" s="7">
        <f>IF(ISERROR(($C6-SUM($I6:AK6))/($A6-COUNTA($I6:AK6))),0,($C6-SUM($I6:AK6))/($A6-COUNTA($I6:AK6)))</f>
        <v>10.090909090909092</v>
      </c>
      <c r="AM6" s="7">
        <f>IF(ISERROR(($C6-SUM($I6:AL6))/($A6-COUNTA($I6:AL6))),0,($C6-SUM($I6:AL6))/($A6-COUNTA($I6:AL6)))</f>
        <v>10.090909090909093</v>
      </c>
      <c r="AN6" s="7">
        <f>IF(ISERROR(($C6-SUM($I6:AM6))/($A6-COUNTA($I6:AM6))),0,($C6-SUM($I6:AM6))/($A6-COUNTA($I6:AM6)))</f>
        <v>10.090909090909092</v>
      </c>
      <c r="AO6" s="7">
        <f>IF(ISERROR(($C6-SUM($I6:AN6))/($A6-COUNTA($I6:AN6))),0,($C6-SUM($I6:AN6))/($A6-COUNTA($I6:AN6)))</f>
        <v>10.090909090909093</v>
      </c>
      <c r="AP6" s="7">
        <f>IF(ISERROR(($C6-SUM($I6:AO6))/($A6-COUNTA($I6:AO6))),0,($C6-SUM($I6:AO6))/($A6-COUNTA($I6:AO6)))</f>
        <v>10.090909090909095</v>
      </c>
      <c r="AQ6" s="7">
        <f>IF(ISERROR(($C6-SUM($I6:AP6))/($A6-COUNTA($I6:AP6))),0,($C6-SUM($I6:AP6))/($A6-COUNTA($I6:AP6)))</f>
        <v>10.090909090909093</v>
      </c>
      <c r="AR6" s="7">
        <f>IF(ISERROR(($C6-SUM($I6:AQ6))/($A6-COUNTA($I6:AQ6))),0,($C6-SUM($I6:AQ6))/($A6-COUNTA($I6:AQ6)))</f>
        <v>10.090909090909092</v>
      </c>
      <c r="AS6" s="7">
        <f>IF(ISERROR(($C6-SUM($I6:AR6))/($A6-COUNTA($I6:AR6))),0,($C6-SUM($I6:AR6))/($A6-COUNTA($I6:AR6)))</f>
        <v>10.090909090909093</v>
      </c>
      <c r="AT6" s="7">
        <f>IF(ISERROR(($C6-SUM($I6:AS6))/($A6-COUNTA($I6:AS6))),0,($C6-SUM($I6:AS6))/($A6-COUNTA($I6:AS6)))</f>
        <v>10.090909090909097</v>
      </c>
      <c r="AU6" s="7">
        <f>IF(ISERROR(($C6-SUM($I6:AT6))/($A6-COUNTA($I6:AT6))),0,($C6-SUM($I6:AT6))/($A6-COUNTA($I6:AT6)))</f>
        <v>10.090909090909093</v>
      </c>
      <c r="AV6" s="7">
        <f>IF(ISERROR(($C6-SUM($I6:AU6))/($A6-COUNTA($I6:AU6))),0,($C6-SUM($I6:AU6))/($A6-COUNTA($I6:AU6)))</f>
        <v>10.09090909090909</v>
      </c>
      <c r="AW6" s="7">
        <f>IF(ISERROR(($C6-SUM($I6:AV6))/($A6-COUNTA($I6:AV6))),0,($C6-SUM($I6:AV6))/($A6-COUNTA($I6:AV6)))</f>
        <v>10.090909090909093</v>
      </c>
      <c r="AX6" s="7">
        <f>IF(ISERROR(($C6-SUM($I6:AW6))/($A6-COUNTA($I6:AW6))),0,($C6-SUM($I6:AW6))/($A6-COUNTA($I6:AW6)))</f>
        <v>10.090909090909099</v>
      </c>
      <c r="AY6" s="7">
        <f>IF(ISERROR(($C6-SUM($I6:AX6))/($A6-COUNTA($I6:AX6))),0,($C6-SUM($I6:AX6))/($A6-COUNTA($I6:AX6)))</f>
        <v>10.090909090909093</v>
      </c>
      <c r="AZ6" s="7">
        <f>IF(ISERROR(($C6-SUM($I6:AY6))/($A6-COUNTA($I6:AY6))),0,($C6-SUM($I6:AY6))/($A6-COUNTA($I6:AY6)))</f>
        <v>10.090909090909085</v>
      </c>
      <c r="BA6" s="7">
        <f>IF(ISERROR(($C6-SUM($I6:AZ6))/($A6-COUNTA($I6:AZ6))),0,($C6-SUM($I6:AZ6))/($A6-COUNTA($I6:AZ6)))</f>
        <v>10.090909090909093</v>
      </c>
      <c r="BB6" s="7">
        <f>IF(ISERROR(($C6-SUM($I6:BA6))/($A6-COUNTA($I6:BA6))),0,($C6-SUM($I6:BA6))/($A6-COUNTA($I6:BA6)))</f>
        <v>10.090909090909122</v>
      </c>
      <c r="BC6" s="7">
        <f>IF(ISERROR(($C6-SUM($I6:BB6))/($A6-COUNTA($I6:BB6))),0,($C6-SUM($I6:BB6))/($A6-COUNTA($I6:BB6)))</f>
        <v>0</v>
      </c>
      <c r="BD6" s="7">
        <f>IF(ISERROR(($C6-SUM($I6:BC6))/($A6-COUNTA($I6:BC6))),0,($C6-SUM($I6:BC6))/($A6-COUNTA($I6:BC6)))</f>
        <v>0</v>
      </c>
      <c r="BE6" s="7">
        <f>IF(ISERROR(($C6-SUM($I6:BD6))/($A6-COUNTA($I6:BD6))),0,($C6-SUM($I6:BD6))/($A6-COUNTA($I6:BD6)))</f>
        <v>0</v>
      </c>
      <c r="BF6" s="7">
        <f>IF(ISERROR(($C6-SUM($I6:BE6))/($A6-COUNTA($I6:BE6))),0,($C6-SUM($I6:BE6))/($A6-COUNTA($I6:BE6)))</f>
        <v>0</v>
      </c>
      <c r="BG6" s="7">
        <f>IF(ISERROR(($C6-SUM($I6:BF6))/($A6-COUNTA($I6:BF6))),0,($C6-SUM($I6:BF6))/($A6-COUNTA($I6:BF6)))</f>
        <v>0</v>
      </c>
      <c r="BH6" s="7">
        <f>IF(ISERROR(($C6-SUM($I6:BG6))/($A6-COUNTA($I6:BG6))),0,($C6-SUM($I6:BG6))/($A6-COUNTA($I6:BG6)))</f>
        <v>0</v>
      </c>
      <c r="BI6" s="7">
        <f>IF(ISERROR(($C6-SUM($I6:BH6))/($A6-COUNTA($I6:BH6))),0,($C6-SUM($I6:BH6))/($A6-COUNTA($I6:BH6)))</f>
        <v>0</v>
      </c>
    </row>
    <row r="7" spans="1:61" x14ac:dyDescent="0.3">
      <c r="A7">
        <v>46</v>
      </c>
      <c r="B7">
        <v>1</v>
      </c>
      <c r="C7">
        <v>460</v>
      </c>
      <c r="D7">
        <f t="shared" ref="D7:D18" si="1">SUM(I7:J7)</f>
        <v>34.5</v>
      </c>
      <c r="E7">
        <f t="shared" si="0"/>
        <v>425.5</v>
      </c>
      <c r="F7" t="s">
        <v>11</v>
      </c>
      <c r="G7">
        <f>SUM(I5:K5)</f>
        <v>72.36363636363636</v>
      </c>
      <c r="I7" s="6">
        <v>17.5</v>
      </c>
      <c r="J7" s="6">
        <v>17</v>
      </c>
      <c r="K7" s="7">
        <f>IF(ISERROR(($C7-SUM($I7:J7))/($A7-COUNTA($I7:J7))),0,($C7-SUM($I7:J7))/($A7-COUNTA($I7:J7)))</f>
        <v>9.670454545454545</v>
      </c>
      <c r="L7" s="7">
        <f>IF(ISERROR(($C7-SUM($I7:K7))/($A7-COUNTA($I7:K7))),0,($C7-SUM($I7:K7))/($A7-COUNTA($I7:K7)))</f>
        <v>9.670454545454545</v>
      </c>
      <c r="M7" s="7">
        <f>IF(ISERROR(($C7-SUM($I7:L7))/($A7-COUNTA($I7:L7))),0,($C7-SUM($I7:L7))/($A7-COUNTA($I7:L7)))</f>
        <v>9.670454545454545</v>
      </c>
      <c r="N7" s="7">
        <f>IF(ISERROR(($C7-SUM($I7:M7))/($A7-COUNTA($I7:M7))),0,($C7-SUM($I7:M7))/($A7-COUNTA($I7:M7)))</f>
        <v>9.670454545454545</v>
      </c>
      <c r="O7" s="7">
        <f>IF(ISERROR(($C7-SUM($I7:N7))/($A7-COUNTA($I7:N7))),0,($C7-SUM($I7:N7))/($A7-COUNTA($I7:N7)))</f>
        <v>9.670454545454545</v>
      </c>
      <c r="P7" s="7">
        <f>IF(ISERROR(($C7-SUM($I7:O7))/($A7-COUNTA($I7:O7))),0,($C7-SUM($I7:O7))/($A7-COUNTA($I7:O7)))</f>
        <v>9.670454545454545</v>
      </c>
      <c r="Q7" s="7">
        <f>IF(ISERROR(($C7-SUM($I7:P7))/($A7-COUNTA($I7:P7))),0,($C7-SUM($I7:P7))/($A7-COUNTA($I7:P7)))</f>
        <v>9.6704545454545467</v>
      </c>
      <c r="R7" s="7">
        <f>IF(ISERROR(($C7-SUM($I7:Q7))/($A7-COUNTA($I7:Q7))),0,($C7-SUM($I7:Q7))/($A7-COUNTA($I7:Q7)))</f>
        <v>9.670454545454545</v>
      </c>
      <c r="S7" s="7">
        <f>IF(ISERROR(($C7-SUM($I7:R7))/($A7-COUNTA($I7:R7))),0,($C7-SUM($I7:R7))/($A7-COUNTA($I7:R7)))</f>
        <v>9.670454545454545</v>
      </c>
      <c r="T7" s="7">
        <f>IF(ISERROR(($C7-SUM($I7:S7))/($A7-COUNTA($I7:S7))),0,($C7-SUM($I7:S7))/($A7-COUNTA($I7:S7)))</f>
        <v>9.670454545454545</v>
      </c>
      <c r="U7" s="7">
        <f>IF(ISERROR(($C7-SUM($I7:T7))/($A7-COUNTA($I7:T7))),0,($C7-SUM($I7:T7))/($A7-COUNTA($I7:T7)))</f>
        <v>9.670454545454545</v>
      </c>
      <c r="V7" s="7">
        <f>IF(ISERROR(($C7-SUM($I7:U7))/($A7-COUNTA($I7:U7))),0,($C7-SUM($I7:U7))/($A7-COUNTA($I7:U7)))</f>
        <v>9.670454545454545</v>
      </c>
      <c r="W7" s="7">
        <f>IF(ISERROR(($C7-SUM($I7:V7))/($A7-COUNTA($I7:V7))),0,($C7-SUM($I7:V7))/($A7-COUNTA($I7:V7)))</f>
        <v>9.6704545454545467</v>
      </c>
      <c r="X7" s="7">
        <f>IF(ISERROR(($C7-SUM($I7:W7))/($A7-COUNTA($I7:W7))),0,($C7-SUM($I7:W7))/($A7-COUNTA($I7:W7)))</f>
        <v>9.6704545454545467</v>
      </c>
      <c r="Y7" s="7">
        <f>IF(ISERROR(($C7-SUM($I7:X7))/($A7-COUNTA($I7:X7))),0,($C7-SUM($I7:X7))/($A7-COUNTA($I7:X7)))</f>
        <v>9.670454545454545</v>
      </c>
      <c r="Z7" s="7">
        <f>IF(ISERROR(($C7-SUM($I7:Y7))/($A7-COUNTA($I7:Y7))),0,($C7-SUM($I7:Y7))/($A7-COUNTA($I7:Y7)))</f>
        <v>9.6704545454545467</v>
      </c>
      <c r="AA7" s="7">
        <f>IF(ISERROR(($C7-SUM($I7:Z7))/($A7-COUNTA($I7:Z7))),0,($C7-SUM($I7:Z7))/($A7-COUNTA($I7:Z7)))</f>
        <v>9.6704545454545467</v>
      </c>
      <c r="AB7" s="7">
        <f>IF(ISERROR(($C7-SUM($I7:AA7))/($A7-COUNTA($I7:AA7))),0,($C7-SUM($I7:AA7))/($A7-COUNTA($I7:AA7)))</f>
        <v>9.6704545454545467</v>
      </c>
      <c r="AC7" s="7">
        <f>IF(ISERROR(($C7-SUM($I7:AB7))/($A7-COUNTA($I7:AB7))),0,($C7-SUM($I7:AB7))/($A7-COUNTA($I7:AB7)))</f>
        <v>9.670454545454545</v>
      </c>
      <c r="AD7" s="7">
        <f>IF(ISERROR(($C7-SUM($I7:AC7))/($A7-COUNTA($I7:AC7))),0,($C7-SUM($I7:AC7))/($A7-COUNTA($I7:AC7)))</f>
        <v>9.6704545454545467</v>
      </c>
      <c r="AE7" s="7">
        <f>IF(ISERROR(($C7-SUM($I7:AD7))/($A7-COUNTA($I7:AD7))),0,($C7-SUM($I7:AD7))/($A7-COUNTA($I7:AD7)))</f>
        <v>9.6704545454545467</v>
      </c>
      <c r="AF7" s="7">
        <f>IF(ISERROR(($C7-SUM($I7:AE7))/($A7-COUNTA($I7:AE7))),0,($C7-SUM($I7:AE7))/($A7-COUNTA($I7:AE7)))</f>
        <v>9.6704545454545467</v>
      </c>
      <c r="AG7" s="7">
        <f>IF(ISERROR(($C7-SUM($I7:AF7))/($A7-COUNTA($I7:AF7))),0,($C7-SUM($I7:AF7))/($A7-COUNTA($I7:AF7)))</f>
        <v>9.670454545454545</v>
      </c>
      <c r="AH7" s="7">
        <f>IF(ISERROR(($C7-SUM($I7:AG7))/($A7-COUNTA($I7:AG7))),0,($C7-SUM($I7:AG7))/($A7-COUNTA($I7:AG7)))</f>
        <v>9.670454545454545</v>
      </c>
      <c r="AI7" s="7">
        <f>IF(ISERROR(($C7-SUM($I7:AH7))/($A7-COUNTA($I7:AH7))),0,($C7-SUM($I7:AH7))/($A7-COUNTA($I7:AH7)))</f>
        <v>9.6704545454545432</v>
      </c>
      <c r="AJ7" s="7">
        <f>IF(ISERROR(($C7-SUM($I7:AI7))/($A7-COUNTA($I7:AI7))),0,($C7-SUM($I7:AI7))/($A7-COUNTA($I7:AI7)))</f>
        <v>9.6704545454545432</v>
      </c>
      <c r="AK7" s="7">
        <f>IF(ISERROR(($C7-SUM($I7:AJ7))/($A7-COUNTA($I7:AJ7))),0,($C7-SUM($I7:AJ7))/($A7-COUNTA($I7:AJ7)))</f>
        <v>9.6704545454545414</v>
      </c>
      <c r="AL7" s="7">
        <f>IF(ISERROR(($C7-SUM($I7:AK7))/($A7-COUNTA($I7:AK7))),0,($C7-SUM($I7:AK7))/($A7-COUNTA($I7:AK7)))</f>
        <v>9.6704545454545414</v>
      </c>
      <c r="AM7" s="7">
        <f>IF(ISERROR(($C7-SUM($I7:AL7))/($A7-COUNTA($I7:AL7))),0,($C7-SUM($I7:AL7))/($A7-COUNTA($I7:AL7)))</f>
        <v>9.6704545454545396</v>
      </c>
      <c r="AN7" s="7">
        <f>IF(ISERROR(($C7-SUM($I7:AM7))/($A7-COUNTA($I7:AM7))),0,($C7-SUM($I7:AM7))/($A7-COUNTA($I7:AM7)))</f>
        <v>9.6704545454545379</v>
      </c>
      <c r="AO7" s="7">
        <f>IF(ISERROR(($C7-SUM($I7:AN7))/($A7-COUNTA($I7:AN7))),0,($C7-SUM($I7:AN7))/($A7-COUNTA($I7:AN7)))</f>
        <v>9.6704545454545361</v>
      </c>
      <c r="AP7" s="7">
        <f>IF(ISERROR(($C7-SUM($I7:AO7))/($A7-COUNTA($I7:AO7))),0,($C7-SUM($I7:AO7))/($A7-COUNTA($I7:AO7)))</f>
        <v>9.6704545454545343</v>
      </c>
      <c r="AQ7" s="7">
        <f>IF(ISERROR(($C7-SUM($I7:AP7))/($A7-COUNTA($I7:AP7))),0,($C7-SUM($I7:AP7))/($A7-COUNTA($I7:AP7)))</f>
        <v>9.6704545454545325</v>
      </c>
      <c r="AR7" s="7">
        <f>IF(ISERROR(($C7-SUM($I7:AQ7))/($A7-COUNTA($I7:AQ7))),0,($C7-SUM($I7:AQ7))/($A7-COUNTA($I7:AQ7)))</f>
        <v>9.6704545454545343</v>
      </c>
      <c r="AS7" s="7">
        <f>IF(ISERROR(($C7-SUM($I7:AR7))/($A7-COUNTA($I7:AR7))),0,($C7-SUM($I7:AR7))/($A7-COUNTA($I7:AR7)))</f>
        <v>9.6704545454545325</v>
      </c>
      <c r="AT7" s="7">
        <f>IF(ISERROR(($C7-SUM($I7:AS7))/($A7-COUNTA($I7:AS7))),0,($C7-SUM($I7:AS7))/($A7-COUNTA($I7:AS7)))</f>
        <v>9.670454545454529</v>
      </c>
      <c r="AU7" s="7">
        <f>IF(ISERROR(($C7-SUM($I7:AT7))/($A7-COUNTA($I7:AT7))),0,($C7-SUM($I7:AT7))/($A7-COUNTA($I7:AT7)))</f>
        <v>9.6704545454545325</v>
      </c>
      <c r="AV7" s="7">
        <f>IF(ISERROR(($C7-SUM($I7:AU7))/($A7-COUNTA($I7:AU7))),0,($C7-SUM($I7:AU7))/($A7-COUNTA($I7:AU7)))</f>
        <v>9.6704545454545361</v>
      </c>
      <c r="AW7" s="7">
        <f>IF(ISERROR(($C7-SUM($I7:AV7))/($A7-COUNTA($I7:AV7))),0,($C7-SUM($I7:AV7))/($A7-COUNTA($I7:AV7)))</f>
        <v>9.6704545454545325</v>
      </c>
      <c r="AX7" s="7">
        <f>IF(ISERROR(($C7-SUM($I7:AW7))/($A7-COUNTA($I7:AW7))),0,($C7-SUM($I7:AW7))/($A7-COUNTA($I7:AW7)))</f>
        <v>9.6704545454545272</v>
      </c>
      <c r="AY7" s="7">
        <f>IF(ISERROR(($C7-SUM($I7:AX7))/($A7-COUNTA($I7:AX7))),0,($C7-SUM($I7:AX7))/($A7-COUNTA($I7:AX7)))</f>
        <v>9.6704545454545325</v>
      </c>
      <c r="AZ7" s="7">
        <f>IF(ISERROR(($C7-SUM($I7:AY7))/($A7-COUNTA($I7:AY7))),0,($C7-SUM($I7:AY7))/($A7-COUNTA($I7:AY7)))</f>
        <v>9.6704545454545414</v>
      </c>
      <c r="BA7" s="7">
        <f>IF(ISERROR(($C7-SUM($I7:AZ7))/($A7-COUNTA($I7:AZ7))),0,($C7-SUM($I7:AZ7))/($A7-COUNTA($I7:AZ7)))</f>
        <v>9.6704545454545325</v>
      </c>
      <c r="BB7" s="7">
        <f>IF(ISERROR(($C7-SUM($I7:BA7))/($A7-COUNTA($I7:BA7))),0,($C7-SUM($I7:BA7))/($A7-COUNTA($I7:BA7)))</f>
        <v>9.6704545454545041</v>
      </c>
      <c r="BC7" s="7">
        <f>IF(ISERROR(($C7-SUM($I7:BB7))/($A7-COUNTA($I7:BB7))),0,($C7-SUM($I7:BB7))/($A7-COUNTA($I7:BB7)))</f>
        <v>0</v>
      </c>
      <c r="BD7" s="7">
        <f>IF(ISERROR(($C7-SUM($I7:BC7))/($A7-COUNTA($I7:BC7))),0,($C7-SUM($I7:BC7))/($A7-COUNTA($I7:BC7)))</f>
        <v>0</v>
      </c>
      <c r="BE7" s="7">
        <f>IF(ISERROR(($C7-SUM($I7:BD7))/($A7-COUNTA($I7:BD7))),0,($C7-SUM($I7:BD7))/($A7-COUNTA($I7:BD7)))</f>
        <v>0</v>
      </c>
      <c r="BF7" s="7">
        <f>IF(ISERROR(($C7-SUM($I7:BE7))/($A7-COUNTA($I7:BE7))),0,($C7-SUM($I7:BE7))/($A7-COUNTA($I7:BE7)))</f>
        <v>0</v>
      </c>
      <c r="BG7" s="7">
        <f>IF(ISERROR(($C7-SUM($I7:BF7))/($A7-COUNTA($I7:BF7))),0,($C7-SUM($I7:BF7))/($A7-COUNTA($I7:BF7)))</f>
        <v>0</v>
      </c>
      <c r="BH7" s="7">
        <f>IF(ISERROR(($C7-SUM($I7:BG7))/($A7-COUNTA($I7:BG7))),0,($C7-SUM($I7:BG7))/($A7-COUNTA($I7:BG7)))</f>
        <v>0</v>
      </c>
      <c r="BI7" s="7">
        <f>IF(ISERROR(($C7-SUM($I7:BH7))/($A7-COUNTA($I7:BH7))),0,($C7-SUM($I7:BH7))/($A7-COUNTA($I7:BH7)))</f>
        <v>0</v>
      </c>
    </row>
    <row r="8" spans="1:61" x14ac:dyDescent="0.3">
      <c r="A8">
        <v>24</v>
      </c>
      <c r="B8">
        <v>32</v>
      </c>
      <c r="C8">
        <v>960</v>
      </c>
      <c r="D8">
        <f t="shared" si="1"/>
        <v>16</v>
      </c>
      <c r="E8">
        <f>C8-D8</f>
        <v>944</v>
      </c>
      <c r="F8" t="s">
        <v>15</v>
      </c>
      <c r="H8">
        <f>SUM(I8:BB8)</f>
        <v>960</v>
      </c>
      <c r="I8" s="6">
        <v>8</v>
      </c>
      <c r="J8" s="6">
        <v>8</v>
      </c>
      <c r="K8" s="7">
        <f>IF(ISERROR(($C8-SUM($I8:J8))/($A8-COUNTA($I8:J8))),0,($C8-SUM($I8:J8))/($A8-COUNTA($I8:J8)))</f>
        <v>42.909090909090907</v>
      </c>
      <c r="L8" s="7">
        <f>IF(ISERROR(($C8-SUM($I8:K8))/($A8-COUNTA($I8:K8))),0,($C8-SUM($I8:K8))/($A8-COUNTA($I8:K8)))</f>
        <v>42.909090909090914</v>
      </c>
      <c r="M8" s="7">
        <f>IF(ISERROR(($C8-SUM($I8:L8))/($A8-COUNTA($I8:L8))),0,($C8-SUM($I8:L8))/($A8-COUNTA($I8:L8)))</f>
        <v>42.909090909090914</v>
      </c>
      <c r="N8" s="7">
        <f>IF(ISERROR(($C8-SUM($I8:M8))/($A8-COUNTA($I8:M8))),0,($C8-SUM($I8:M8))/($A8-COUNTA($I8:M8)))</f>
        <v>42.909090909090907</v>
      </c>
      <c r="O8" s="7">
        <f>IF(ISERROR(($C8-SUM($I8:N8))/($A8-COUNTA($I8:N8))),0,($C8-SUM($I8:N8))/($A8-COUNTA($I8:N8)))</f>
        <v>42.909090909090907</v>
      </c>
      <c r="P8" s="7">
        <f>IF(ISERROR(($C8-SUM($I8:O8))/($A8-COUNTA($I8:O8))),0,($C8-SUM($I8:O8))/($A8-COUNTA($I8:O8)))</f>
        <v>42.909090909090914</v>
      </c>
      <c r="Q8" s="7">
        <f>IF(ISERROR(($C8-SUM($I8:P8))/($A8-COUNTA($I8:P8))),0,($C8-SUM($I8:P8))/($A8-COUNTA($I8:P8)))</f>
        <v>42.909090909090907</v>
      </c>
      <c r="R8" s="7">
        <f>IF(ISERROR(($C8-SUM($I8:Q8))/($A8-COUNTA($I8:Q8))),0,($C8-SUM($I8:Q8))/($A8-COUNTA($I8:Q8)))</f>
        <v>42.909090909090907</v>
      </c>
      <c r="S8" s="7">
        <f>IF(ISERROR(($C8-SUM($I8:R8))/($A8-COUNTA($I8:R8))),0,($C8-SUM($I8:R8))/($A8-COUNTA($I8:R8)))</f>
        <v>42.909090909090914</v>
      </c>
      <c r="T8" s="7">
        <f>IF(ISERROR(($C8-SUM($I8:S8))/($A8-COUNTA($I8:S8))),0,($C8-SUM($I8:S8))/($A8-COUNTA($I8:S8)))</f>
        <v>42.909090909090907</v>
      </c>
      <c r="U8" s="7">
        <f>IF(ISERROR(($C8-SUM($I8:T8))/($A8-COUNTA($I8:T8))),0,($C8-SUM($I8:T8))/($A8-COUNTA($I8:T8)))</f>
        <v>42.909090909090907</v>
      </c>
      <c r="V8" s="7">
        <f>IF(ISERROR(($C8-SUM($I8:U8))/($A8-COUNTA($I8:U8))),0,($C8-SUM($I8:U8))/($A8-COUNTA($I8:U8)))</f>
        <v>42.909090909090907</v>
      </c>
      <c r="W8" s="7">
        <f>IF(ISERROR(($C8-SUM($I8:V8))/($A8-COUNTA($I8:V8))),0,($C8-SUM($I8:V8))/($A8-COUNTA($I8:V8)))</f>
        <v>42.909090909090914</v>
      </c>
      <c r="X8" s="7">
        <f>IF(ISERROR(($C8-SUM($I8:W8))/($A8-COUNTA($I8:W8))),0,($C8-SUM($I8:W8))/($A8-COUNTA($I8:W8)))</f>
        <v>42.909090909090914</v>
      </c>
      <c r="Y8" s="7">
        <f>IF(ISERROR(($C8-SUM($I8:X8))/($A8-COUNTA($I8:X8))),0,($C8-SUM($I8:X8))/($A8-COUNTA($I8:X8)))</f>
        <v>42.909090909090921</v>
      </c>
      <c r="Z8" s="7">
        <f>IF(ISERROR(($C8-SUM($I8:Y8))/($A8-COUNTA($I8:Y8))),0,($C8-SUM($I8:Y8))/($A8-COUNTA($I8:Y8)))</f>
        <v>42.909090909090928</v>
      </c>
      <c r="AA8" s="7">
        <f>IF(ISERROR(($C8-SUM($I8:Z8))/($A8-COUNTA($I8:Z8))),0,($C8-SUM($I8:Z8))/($A8-COUNTA($I8:Z8)))</f>
        <v>42.909090909090935</v>
      </c>
      <c r="AB8" s="7">
        <f>IF(ISERROR(($C8-SUM($I8:AA8))/($A8-COUNTA($I8:AA8))),0,($C8-SUM($I8:AA8))/($A8-COUNTA($I8:AA8)))</f>
        <v>42.909090909090949</v>
      </c>
      <c r="AC8" s="7">
        <f>IF(ISERROR(($C8-SUM($I8:AB8))/($A8-COUNTA($I8:AB8))),0,($C8-SUM($I8:AB8))/($A8-COUNTA($I8:AB8)))</f>
        <v>42.909090909090935</v>
      </c>
      <c r="AD8" s="7">
        <f>IF(ISERROR(($C8-SUM($I8:AC8))/($A8-COUNTA($I8:AC8))),0,($C8-SUM($I8:AC8))/($A8-COUNTA($I8:AC8)))</f>
        <v>42.909090909090914</v>
      </c>
      <c r="AE8" s="7">
        <f>IF(ISERROR(($C8-SUM($I8:AD8))/($A8-COUNTA($I8:AD8))),0,($C8-SUM($I8:AD8))/($A8-COUNTA($I8:AD8)))</f>
        <v>42.909090909090935</v>
      </c>
      <c r="AF8" s="7">
        <f>IF(ISERROR(($C8-SUM($I8:AE8))/($A8-COUNTA($I8:AE8))),0,($C8-SUM($I8:AE8))/($A8-COUNTA($I8:AE8)))</f>
        <v>42.909090909090992</v>
      </c>
      <c r="AG8" s="7">
        <f>IF(ISERROR(($C8-SUM($I8:AF8))/($A8-COUNTA($I8:AF8))),0,($C8-SUM($I8:AF8))/($A8-COUNTA($I8:AF8)))</f>
        <v>0</v>
      </c>
      <c r="AH8" s="7">
        <f>IF(ISERROR(($C8-SUM($I8:AG8))/($A8-COUNTA($I8:AG8))),0,($C8-SUM($I8:AG8))/($A8-COUNTA($I8:AG8)))</f>
        <v>0</v>
      </c>
      <c r="AI8" s="7">
        <f>IF(ISERROR(($C8-SUM($I8:AH8))/($A8-COUNTA($I8:AH8))),0,($C8-SUM($I8:AH8))/($A8-COUNTA($I8:AH8)))</f>
        <v>0</v>
      </c>
      <c r="AJ8" s="7">
        <f>IF(ISERROR(($C8-SUM($I8:AI8))/($A8-COUNTA($I8:AI8))),0,($C8-SUM($I8:AI8))/($A8-COUNTA($I8:AI8)))</f>
        <v>0</v>
      </c>
      <c r="AK8" s="7">
        <f>IF(ISERROR(($C8-SUM($I8:AJ8))/($A8-COUNTA($I8:AJ8))),0,($C8-SUM($I8:AJ8))/($A8-COUNTA($I8:AJ8)))</f>
        <v>0</v>
      </c>
      <c r="AL8" s="7">
        <f>IF(ISERROR(($C8-SUM($I8:AK8))/($A8-COUNTA($I8:AK8))),0,($C8-SUM($I8:AK8))/($A8-COUNTA($I8:AK8)))</f>
        <v>0</v>
      </c>
      <c r="AM8" s="7">
        <f>IF(ISERROR(($C8-SUM($I8:AL8))/($A8-COUNTA($I8:AL8))),0,($C8-SUM($I8:AL8))/($A8-COUNTA($I8:AL8)))</f>
        <v>0</v>
      </c>
      <c r="AN8" s="7">
        <f>IF(ISERROR(($C8-SUM($I8:AM8))/($A8-COUNTA($I8:AM8))),0,($C8-SUM($I8:AM8))/($A8-COUNTA($I8:AM8)))</f>
        <v>0</v>
      </c>
      <c r="AO8" s="7">
        <f>IF(ISERROR(($C8-SUM($I8:AN8))/($A8-COUNTA($I8:AN8))),0,($C8-SUM($I8:AN8))/($A8-COUNTA($I8:AN8)))</f>
        <v>0</v>
      </c>
      <c r="AP8" s="7">
        <f>IF(ISERROR(($C8-SUM($I8:AO8))/($A8-COUNTA($I8:AO8))),0,($C8-SUM($I8:AO8))/($A8-COUNTA($I8:AO8)))</f>
        <v>0</v>
      </c>
      <c r="AQ8" s="7">
        <f>IF(ISERROR(($C8-SUM($I8:AP8))/($A8-COUNTA($I8:AP8))),0,($C8-SUM($I8:AP8))/($A8-COUNTA($I8:AP8)))</f>
        <v>0</v>
      </c>
      <c r="AR8" s="7">
        <f>IF(ISERROR(($C8-SUM($I8:AQ8))/($A8-COUNTA($I8:AQ8))),0,($C8-SUM($I8:AQ8))/($A8-COUNTA($I8:AQ8)))</f>
        <v>0</v>
      </c>
      <c r="AS8" s="7">
        <f>IF(ISERROR(($C8-SUM($I8:AR8))/($A8-COUNTA($I8:AR8))),0,($C8-SUM($I8:AR8))/($A8-COUNTA($I8:AR8)))</f>
        <v>0</v>
      </c>
      <c r="AT8" s="7">
        <f>IF(ISERROR(($C8-SUM($I8:AS8))/($A8-COUNTA($I8:AS8))),0,($C8-SUM($I8:AS8))/($A8-COUNTA($I8:AS8)))</f>
        <v>0</v>
      </c>
      <c r="AU8" s="7">
        <f>IF(ISERROR(($C8-SUM($I8:AT8))/($A8-COUNTA($I8:AT8))),0,($C8-SUM($I8:AT8))/($A8-COUNTA($I8:AT8)))</f>
        <v>0</v>
      </c>
      <c r="AV8" s="7">
        <f>IF(ISERROR(($C8-SUM($I8:AU8))/($A8-COUNTA($I8:AU8))),0,($C8-SUM($I8:AU8))/($A8-COUNTA($I8:AU8)))</f>
        <v>0</v>
      </c>
      <c r="AW8" s="7">
        <f>IF(ISERROR(($C8-SUM($I8:AV8))/($A8-COUNTA($I8:AV8))),0,($C8-SUM($I8:AV8))/($A8-COUNTA($I8:AV8)))</f>
        <v>0</v>
      </c>
      <c r="AX8" s="7">
        <f>IF(ISERROR(($C8-SUM($I8:AW8))/($A8-COUNTA($I8:AW8))),0,($C8-SUM($I8:AW8))/($A8-COUNTA($I8:AW8)))</f>
        <v>0</v>
      </c>
      <c r="AY8" s="7">
        <f>IF(ISERROR(($C8-SUM($I8:AX8))/($A8-COUNTA($I8:AX8))),0,($C8-SUM($I8:AX8))/($A8-COUNTA($I8:AX8)))</f>
        <v>0</v>
      </c>
      <c r="AZ8" s="7">
        <f>IF(ISERROR(($C8-SUM($I8:AY8))/($A8-COUNTA($I8:AY8))),0,($C8-SUM($I8:AY8))/($A8-COUNTA($I8:AY8)))</f>
        <v>0</v>
      </c>
      <c r="BA8" s="7">
        <f>IF(ISERROR(($C8-SUM($I8:AZ8))/($A8-COUNTA($I8:AZ8))),0,($C8-SUM($I8:AZ8))/($A8-COUNTA($I8:AZ8)))</f>
        <v>0</v>
      </c>
      <c r="BB8" s="7">
        <f>IF(ISERROR(($C8-SUM($I8:BA8))/($A8-COUNTA($I8:BA8))),0,($C8-SUM($I8:BA8))/($A8-COUNTA($I8:BA8)))</f>
        <v>0</v>
      </c>
      <c r="BC8" s="7">
        <f>IF(ISERROR(($C8-SUM($I8:BB8))/($A8-COUNTA($I8:BB8))),0,($C8-SUM($I8:BB8))/($A8-COUNTA($I8:BB8)))</f>
        <v>0</v>
      </c>
      <c r="BD8" s="7">
        <f>IF(ISERROR(($C8-SUM($I8:BC8))/($A8-COUNTA($I8:BC8))),0,($C8-SUM($I8:BC8))/($A8-COUNTA($I8:BC8)))</f>
        <v>0</v>
      </c>
      <c r="BE8" s="7">
        <f>IF(ISERROR(($C8-SUM($I8:BD8))/($A8-COUNTA($I8:BD8))),0,($C8-SUM($I8:BD8))/($A8-COUNTA($I8:BD8)))</f>
        <v>0</v>
      </c>
      <c r="BF8" s="7">
        <f>IF(ISERROR(($C8-SUM($I8:BE8))/($A8-COUNTA($I8:BE8))),0,($C8-SUM($I8:BE8))/($A8-COUNTA($I8:BE8)))</f>
        <v>0</v>
      </c>
      <c r="BG8" s="7">
        <f>IF(ISERROR(($C8-SUM($I8:BF8))/($A8-COUNTA($I8:BF8))),0,($C8-SUM($I8:BF8))/($A8-COUNTA($I8:BF8)))</f>
        <v>0</v>
      </c>
      <c r="BH8" s="7">
        <f>IF(ISERROR(($C8-SUM($I8:BG8))/($A8-COUNTA($I8:BG8))),0,($C8-SUM($I8:BG8))/($A8-COUNTA($I8:BG8)))</f>
        <v>0</v>
      </c>
      <c r="BI8" s="7">
        <f>IF(ISERROR(($C8-SUM($I8:BH8))/($A8-COUNTA($I8:BH8))),0,($C8-SUM($I8:BH8))/($A8-COUNTA($I8:BH8)))</f>
        <v>0</v>
      </c>
    </row>
    <row r="9" spans="1:61" x14ac:dyDescent="0.3">
      <c r="A9">
        <v>16</v>
      </c>
      <c r="B9">
        <v>21</v>
      </c>
      <c r="C9">
        <v>640</v>
      </c>
      <c r="D9">
        <f>SUM(I9:J9)</f>
        <v>48.5</v>
      </c>
      <c r="E9">
        <f t="shared" si="0"/>
        <v>591.5</v>
      </c>
      <c r="F9" t="s">
        <v>9</v>
      </c>
      <c r="I9" s="6">
        <v>24.5</v>
      </c>
      <c r="J9" s="6">
        <v>24</v>
      </c>
      <c r="K9" s="7">
        <f>IF(ISERROR(($C9-SUM($I9:J9))/($A9-COUNTA($I9:J9))),0,($C9-SUM($I9:J9))/($A9-COUNTA($I9:J9)))</f>
        <v>42.25</v>
      </c>
      <c r="L9" s="7">
        <f>IF(ISERROR(($C9-SUM($I9:K9))/($A9-COUNTA($I9:K9))),0,($C9-SUM($I9:K9))/($A9-COUNTA($I9:K9)))</f>
        <v>42.25</v>
      </c>
      <c r="M9" s="7">
        <f>IF(ISERROR(($C9-SUM($I9:L9))/($A9-COUNTA($I9:L9))),0,($C9-SUM($I9:L9))/($A9-COUNTA($I9:L9)))</f>
        <v>42.25</v>
      </c>
      <c r="N9" s="7">
        <f>IF(ISERROR(($C9-SUM($I9:M9))/($A9-COUNTA($I9:M9))),0,($C9-SUM($I9:M9))/($A9-COUNTA($I9:M9)))</f>
        <v>42.25</v>
      </c>
      <c r="O9" s="7">
        <f>IF(ISERROR(($C9-SUM($I9:N9))/($A9-COUNTA($I9:N9))),0,($C9-SUM($I9:N9))/($A9-COUNTA($I9:N9)))</f>
        <v>42.25</v>
      </c>
      <c r="P9" s="7">
        <f>IF(ISERROR(($C9-SUM($I9:O9))/($A9-COUNTA($I9:O9))),0,($C9-SUM($I9:O9))/($A9-COUNTA($I9:O9)))</f>
        <v>42.25</v>
      </c>
      <c r="Q9" s="7">
        <f>IF(ISERROR(($C9-SUM($I9:P9))/($A9-COUNTA($I9:P9))),0,($C9-SUM($I9:P9))/($A9-COUNTA($I9:P9)))</f>
        <v>42.25</v>
      </c>
      <c r="R9" s="7">
        <f>IF(ISERROR(($C9-SUM($I9:Q9))/($A9-COUNTA($I9:Q9))),0,($C9-SUM($I9:Q9))/($A9-COUNTA($I9:Q9)))</f>
        <v>42.25</v>
      </c>
      <c r="S9" s="7">
        <f>IF(ISERROR(($C9-SUM($I9:R9))/($A9-COUNTA($I9:R9))),0,($C9-SUM($I9:R9))/($A9-COUNTA($I9:R9)))</f>
        <v>42.25</v>
      </c>
      <c r="T9" s="7">
        <f>IF(ISERROR(($C9-SUM($I9:S9))/($A9-COUNTA($I9:S9))),0,($C9-SUM($I9:S9))/($A9-COUNTA($I9:S9)))</f>
        <v>42.25</v>
      </c>
      <c r="U9" s="7">
        <f>IF(ISERROR(($C9-SUM($I9:T9))/($A9-COUNTA($I9:T9))),0,($C9-SUM($I9:T9))/($A9-COUNTA($I9:T9)))</f>
        <v>42.25</v>
      </c>
      <c r="V9" s="7">
        <f>IF(ISERROR(($C9-SUM($I9:U9))/($A9-COUNTA($I9:U9))),0,($C9-SUM($I9:U9))/($A9-COUNTA($I9:U9)))</f>
        <v>42.25</v>
      </c>
      <c r="W9" s="7">
        <f>IF(ISERROR(($C9-SUM($I9:V9))/($A9-COUNTA($I9:V9))),0,($C9-SUM($I9:V9))/($A9-COUNTA($I9:V9)))</f>
        <v>42.25</v>
      </c>
      <c r="X9" s="7">
        <f>IF(ISERROR(($C9-SUM($I9:W9))/($A9-COUNTA($I9:W9))),0,($C9-SUM($I9:W9))/($A9-COUNTA($I9:W9)))</f>
        <v>42.25</v>
      </c>
      <c r="Y9" s="7">
        <f>IF(ISERROR(($C9-SUM($I9:X9))/($A9-COUNTA($I9:X9))),0,($C9-SUM($I9:X9))/($A9-COUNTA($I9:X9)))</f>
        <v>0</v>
      </c>
      <c r="Z9" s="7">
        <f>IF(ISERROR(($C9-SUM($I9:Y9))/($A9-COUNTA($I9:Y9))),0,($C9-SUM($I9:Y9))/($A9-COUNTA($I9:Y9)))</f>
        <v>0</v>
      </c>
      <c r="AA9" s="7">
        <f>IF(ISERROR(($C9-SUM($I9:Z9))/($A9-COUNTA($I9:Z9))),0,($C9-SUM($I9:Z9))/($A9-COUNTA($I9:Z9)))</f>
        <v>0</v>
      </c>
      <c r="AB9" s="7">
        <f>IF(ISERROR(($C9-SUM($I9:AA9))/($A9-COUNTA($I9:AA9))),0,($C9-SUM($I9:AA9))/($A9-COUNTA($I9:AA9)))</f>
        <v>0</v>
      </c>
      <c r="AC9" s="7">
        <f>IF(ISERROR(($C9-SUM($I9:AB9))/($A9-COUNTA($I9:AB9))),0,($C9-SUM($I9:AB9))/($A9-COUNTA($I9:AB9)))</f>
        <v>0</v>
      </c>
      <c r="AD9" s="7">
        <f>IF(ISERROR(($C9-SUM($I9:AC9))/($A9-COUNTA($I9:AC9))),0,($C9-SUM($I9:AC9))/($A9-COUNTA($I9:AC9)))</f>
        <v>0</v>
      </c>
      <c r="AE9" s="7">
        <f>IF(ISERROR(($C9-SUM($I9:AD9))/($A9-COUNTA($I9:AD9))),0,($C9-SUM($I9:AD9))/($A9-COUNTA($I9:AD9)))</f>
        <v>0</v>
      </c>
      <c r="AF9" s="7">
        <f>IF(ISERROR(($C9-SUM($I9:AE9))/($A9-COUNTA($I9:AE9))),0,($C9-SUM($I9:AE9))/($A9-COUNTA($I9:AE9)))</f>
        <v>0</v>
      </c>
      <c r="AG9" s="7">
        <f>IF(ISERROR(($C9-SUM($I9:AF9))/($A9-COUNTA($I9:AF9))),0,($C9-SUM($I9:AF9))/($A9-COUNTA($I9:AF9)))</f>
        <v>0</v>
      </c>
      <c r="AH9" s="7">
        <f>IF(ISERROR(($C9-SUM($I9:AG9))/($A9-COUNTA($I9:AG9))),0,($C9-SUM($I9:AG9))/($A9-COUNTA($I9:AG9)))</f>
        <v>0</v>
      </c>
      <c r="AI9" s="7">
        <f>IF(ISERROR(($C9-SUM($I9:AH9))/($A9-COUNTA($I9:AH9))),0,($C9-SUM($I9:AH9))/($A9-COUNTA($I9:AH9)))</f>
        <v>0</v>
      </c>
      <c r="AJ9" s="7">
        <f>IF(ISERROR(($C9-SUM($I9:AI9))/($A9-COUNTA($I9:AI9))),0,($C9-SUM($I9:AI9))/($A9-COUNTA($I9:AI9)))</f>
        <v>0</v>
      </c>
      <c r="AK9" s="7">
        <f>IF(ISERROR(($C9-SUM($I9:AJ9))/($A9-COUNTA($I9:AJ9))),0,($C9-SUM($I9:AJ9))/($A9-COUNTA($I9:AJ9)))</f>
        <v>0</v>
      </c>
      <c r="AL9" s="7">
        <f>IF(ISERROR(($C9-SUM($I9:AK9))/($A9-COUNTA($I9:AK9))),0,($C9-SUM($I9:AK9))/($A9-COUNTA($I9:AK9)))</f>
        <v>0</v>
      </c>
      <c r="AM9" s="7">
        <f>IF(ISERROR(($C9-SUM($I9:AL9))/($A9-COUNTA($I9:AL9))),0,($C9-SUM($I9:AL9))/($A9-COUNTA($I9:AL9)))</f>
        <v>0</v>
      </c>
      <c r="AN9" s="7">
        <f>IF(ISERROR(($C9-SUM($I9:AM9))/($A9-COUNTA($I9:AM9))),0,($C9-SUM($I9:AM9))/($A9-COUNTA($I9:AM9)))</f>
        <v>0</v>
      </c>
      <c r="AO9" s="7">
        <f>IF(ISERROR(($C9-SUM($I9:AN9))/($A9-COUNTA($I9:AN9))),0,($C9-SUM($I9:AN9))/($A9-COUNTA($I9:AN9)))</f>
        <v>0</v>
      </c>
      <c r="AP9" s="7">
        <f>IF(ISERROR(($C9-SUM($I9:AO9))/($A9-COUNTA($I9:AO9))),0,($C9-SUM($I9:AO9))/($A9-COUNTA($I9:AO9)))</f>
        <v>0</v>
      </c>
      <c r="AQ9" s="7">
        <f>IF(ISERROR(($C9-SUM($I9:AP9))/($A9-COUNTA($I9:AP9))),0,($C9-SUM($I9:AP9))/($A9-COUNTA($I9:AP9)))</f>
        <v>0</v>
      </c>
      <c r="AR9" s="7">
        <f>IF(ISERROR(($C9-SUM($I9:AQ9))/($A9-COUNTA($I9:AQ9))),0,($C9-SUM($I9:AQ9))/($A9-COUNTA($I9:AQ9)))</f>
        <v>0</v>
      </c>
      <c r="AS9" s="7">
        <f>IF(ISERROR(($C9-SUM($I9:AR9))/($A9-COUNTA($I9:AR9))),0,($C9-SUM($I9:AR9))/($A9-COUNTA($I9:AR9)))</f>
        <v>0</v>
      </c>
      <c r="AT9" s="7">
        <f>IF(ISERROR(($C9-SUM($I9:AS9))/($A9-COUNTA($I9:AS9))),0,($C9-SUM($I9:AS9))/($A9-COUNTA($I9:AS9)))</f>
        <v>0</v>
      </c>
      <c r="AU9" s="7">
        <f>IF(ISERROR(($C9-SUM($I9:AT9))/($A9-COUNTA($I9:AT9))),0,($C9-SUM($I9:AT9))/($A9-COUNTA($I9:AT9)))</f>
        <v>0</v>
      </c>
      <c r="AV9" s="7">
        <f>IF(ISERROR(($C9-SUM($I9:AU9))/($A9-COUNTA($I9:AU9))),0,($C9-SUM($I9:AU9))/($A9-COUNTA($I9:AU9)))</f>
        <v>0</v>
      </c>
      <c r="AW9" s="7">
        <f>IF(ISERROR(($C9-SUM($I9:AV9))/($A9-COUNTA($I9:AV9))),0,($C9-SUM($I9:AV9))/($A9-COUNTA($I9:AV9)))</f>
        <v>0</v>
      </c>
      <c r="AX9" s="7">
        <f>IF(ISERROR(($C9-SUM($I9:AW9))/($A9-COUNTA($I9:AW9))),0,($C9-SUM($I9:AW9))/($A9-COUNTA($I9:AW9)))</f>
        <v>0</v>
      </c>
      <c r="AY9" s="7">
        <f>IF(ISERROR(($C9-SUM($I9:AX9))/($A9-COUNTA($I9:AX9))),0,($C9-SUM($I9:AX9))/($A9-COUNTA($I9:AX9)))</f>
        <v>0</v>
      </c>
      <c r="AZ9" s="7">
        <f>IF(ISERROR(($C9-SUM($I9:AY9))/($A9-COUNTA($I9:AY9))),0,($C9-SUM($I9:AY9))/($A9-COUNTA($I9:AY9)))</f>
        <v>0</v>
      </c>
      <c r="BA9" s="7">
        <f>IF(ISERROR(($C9-SUM($I9:AZ9))/($A9-COUNTA($I9:AZ9))),0,($C9-SUM($I9:AZ9))/($A9-COUNTA($I9:AZ9)))</f>
        <v>0</v>
      </c>
      <c r="BB9" s="7">
        <f>IF(ISERROR(($C9-SUM($I9:BA9))/($A9-COUNTA($I9:BA9))),0,($C9-SUM($I9:BA9))/($A9-COUNTA($I9:BA9)))</f>
        <v>0</v>
      </c>
      <c r="BC9" s="7">
        <f>IF(ISERROR(($C9-SUM($I9:BB9))/($A9-COUNTA($I9:BB9))),0,($C9-SUM($I9:BB9))/($A9-COUNTA($I9:BB9)))</f>
        <v>0</v>
      </c>
      <c r="BD9" s="7">
        <f>IF(ISERROR(($C9-SUM($I9:BC9))/($A9-COUNTA($I9:BC9))),0,($C9-SUM($I9:BC9))/($A9-COUNTA($I9:BC9)))</f>
        <v>0</v>
      </c>
      <c r="BE9" s="7">
        <f>IF(ISERROR(($C9-SUM($I9:BD9))/($A9-COUNTA($I9:BD9))),0,($C9-SUM($I9:BD9))/($A9-COUNTA($I9:BD9)))</f>
        <v>0</v>
      </c>
      <c r="BF9" s="7">
        <f>IF(ISERROR(($C9-SUM($I9:BE9))/($A9-COUNTA($I9:BE9))),0,($C9-SUM($I9:BE9))/($A9-COUNTA($I9:BE9)))</f>
        <v>0</v>
      </c>
      <c r="BG9" s="7">
        <f>IF(ISERROR(($C9-SUM($I9:BF9))/($A9-COUNTA($I9:BF9))),0,($C9-SUM($I9:BF9))/($A9-COUNTA($I9:BF9)))</f>
        <v>0</v>
      </c>
      <c r="BH9" s="7">
        <f>IF(ISERROR(($C9-SUM($I9:BG9))/($A9-COUNTA($I9:BG9))),0,($C9-SUM($I9:BG9))/($A9-COUNTA($I9:BG9)))</f>
        <v>0</v>
      </c>
      <c r="BI9" s="7">
        <f>IF(ISERROR(($C9-SUM($I9:BH9))/($A9-COUNTA($I9:BH9))),0,($C9-SUM($I9:BH9))/($A9-COUNTA($I9:BH9)))</f>
        <v>0</v>
      </c>
    </row>
    <row r="10" spans="1:61" x14ac:dyDescent="0.3">
      <c r="A10">
        <v>12</v>
      </c>
      <c r="B10">
        <v>20</v>
      </c>
      <c r="C10">
        <v>480</v>
      </c>
      <c r="D10">
        <f t="shared" si="1"/>
        <v>35</v>
      </c>
      <c r="E10">
        <f t="shared" si="0"/>
        <v>445</v>
      </c>
      <c r="F10" t="s">
        <v>8</v>
      </c>
      <c r="I10" s="6">
        <v>17.5</v>
      </c>
      <c r="J10" s="6">
        <v>17.5</v>
      </c>
      <c r="K10" s="7">
        <f>IF(ISERROR(($C10-SUM($I10:J10))/($A10-COUNTA($I10:J10))),0,($C10-SUM($I10:J10))/($A10-COUNTA($I10:J10)))</f>
        <v>44.5</v>
      </c>
      <c r="L10" s="7">
        <f>IF(ISERROR(($C10-SUM($I10:K10))/($A10-COUNTA($I10:K10))),0,($C10-SUM($I10:K10))/($A10-COUNTA($I10:K10)))</f>
        <v>44.5</v>
      </c>
      <c r="M10" s="7">
        <f>IF(ISERROR(($C10-SUM($I10:L10))/($A10-COUNTA($I10:L10))),0,($C10-SUM($I10:L10))/($A10-COUNTA($I10:L10)))</f>
        <v>44.5</v>
      </c>
      <c r="N10" s="7">
        <f>IF(ISERROR(($C10-SUM($I10:M10))/($A10-COUNTA($I10:M10))),0,($C10-SUM($I10:M10))/($A10-COUNTA($I10:M10)))</f>
        <v>44.5</v>
      </c>
      <c r="O10" s="7">
        <f>IF(ISERROR(($C10-SUM($I10:N10))/($A10-COUNTA($I10:N10))),0,($C10-SUM($I10:N10))/($A10-COUNTA($I10:N10)))</f>
        <v>44.5</v>
      </c>
      <c r="P10" s="7">
        <f>IF(ISERROR(($C10-SUM($I10:O10))/($A10-COUNTA($I10:O10))),0,($C10-SUM($I10:O10))/($A10-COUNTA($I10:O10)))</f>
        <v>44.5</v>
      </c>
      <c r="Q10" s="7">
        <f>IF(ISERROR(($C10-SUM($I10:P10))/($A10-COUNTA($I10:P10))),0,($C10-SUM($I10:P10))/($A10-COUNTA($I10:P10)))</f>
        <v>44.5</v>
      </c>
      <c r="R10" s="7">
        <f>IF(ISERROR(($C10-SUM($I10:Q10))/($A10-COUNTA($I10:Q10))),0,($C10-SUM($I10:Q10))/($A10-COUNTA($I10:Q10)))</f>
        <v>44.5</v>
      </c>
      <c r="S10" s="7">
        <f>IF(ISERROR(($C10-SUM($I10:R10))/($A10-COUNTA($I10:R10))),0,($C10-SUM($I10:R10))/($A10-COUNTA($I10:R10)))</f>
        <v>44.5</v>
      </c>
      <c r="T10" s="7">
        <f>IF(ISERROR(($C10-SUM($I10:S10))/($A10-COUNTA($I10:S10))),0,($C10-SUM($I10:S10))/($A10-COUNTA($I10:S10)))</f>
        <v>44.5</v>
      </c>
      <c r="U10" s="7">
        <f>IF(ISERROR(($C10-SUM($I10:T10))/($A10-COUNTA($I10:T10))),0,($C10-SUM($I10:T10))/($A10-COUNTA($I10:T10)))</f>
        <v>0</v>
      </c>
      <c r="V10" s="7">
        <f>IF(ISERROR(($C10-SUM($I10:U10))/($A10-COUNTA($I10:U10))),0,($C10-SUM($I10:U10))/($A10-COUNTA($I10:U10)))</f>
        <v>0</v>
      </c>
      <c r="W10" s="7">
        <f>IF(ISERROR(($C10-SUM($I10:V10))/($A10-COUNTA($I10:V10))),0,($C10-SUM($I10:V10))/($A10-COUNTA($I10:V10)))</f>
        <v>0</v>
      </c>
      <c r="X10" s="7">
        <f>IF(ISERROR(($C10-SUM($I10:W10))/($A10-COUNTA($I10:W10))),0,($C10-SUM($I10:W10))/($A10-COUNTA($I10:W10)))</f>
        <v>0</v>
      </c>
      <c r="Y10" s="7">
        <f>IF(ISERROR(($C10-SUM($I10:X10))/($A10-COUNTA($I10:X10))),0,($C10-SUM($I10:X10))/($A10-COUNTA($I10:X10)))</f>
        <v>0</v>
      </c>
      <c r="Z10" s="7">
        <f>IF(ISERROR(($C10-SUM($I10:Y10))/($A10-COUNTA($I10:Y10))),0,($C10-SUM($I10:Y10))/($A10-COUNTA($I10:Y10)))</f>
        <v>0</v>
      </c>
      <c r="AA10" s="7">
        <f>IF(ISERROR(($C10-SUM($I10:Z10))/($A10-COUNTA($I10:Z10))),0,($C10-SUM($I10:Z10))/($A10-COUNTA($I10:Z10)))</f>
        <v>0</v>
      </c>
      <c r="AB10" s="7">
        <f>IF(ISERROR(($C10-SUM($I10:AA10))/($A10-COUNTA($I10:AA10))),0,($C10-SUM($I10:AA10))/($A10-COUNTA($I10:AA10)))</f>
        <v>0</v>
      </c>
      <c r="AC10" s="7">
        <f>IF(ISERROR(($C10-SUM($I10:AB10))/($A10-COUNTA($I10:AB10))),0,($C10-SUM($I10:AB10))/($A10-COUNTA($I10:AB10)))</f>
        <v>0</v>
      </c>
      <c r="AD10" s="7">
        <f>IF(ISERROR(($C10-SUM($I10:AC10))/($A10-COUNTA($I10:AC10))),0,($C10-SUM($I10:AC10))/($A10-COUNTA($I10:AC10)))</f>
        <v>0</v>
      </c>
      <c r="AE10" s="7">
        <f>IF(ISERROR(($C10-SUM($I10:AD10))/($A10-COUNTA($I10:AD10))),0,($C10-SUM($I10:AD10))/($A10-COUNTA($I10:AD10)))</f>
        <v>0</v>
      </c>
      <c r="AF10" s="7">
        <f>IF(ISERROR(($C10-SUM($I10:AE10))/($A10-COUNTA($I10:AE10))),0,($C10-SUM($I10:AE10))/($A10-COUNTA($I10:AE10)))</f>
        <v>0</v>
      </c>
      <c r="AG10" s="7">
        <f>IF(ISERROR(($C10-SUM($I10:AF10))/($A10-COUNTA($I10:AF10))),0,($C10-SUM($I10:AF10))/($A10-COUNTA($I10:AF10)))</f>
        <v>0</v>
      </c>
      <c r="AH10" s="7">
        <f>IF(ISERROR(($C10-SUM($I10:AG10))/($A10-COUNTA($I10:AG10))),0,($C10-SUM($I10:AG10))/($A10-COUNTA($I10:AG10)))</f>
        <v>0</v>
      </c>
      <c r="AI10" s="7">
        <f>IF(ISERROR(($C10-SUM($I10:AH10))/($A10-COUNTA($I10:AH10))),0,($C10-SUM($I10:AH10))/($A10-COUNTA($I10:AH10)))</f>
        <v>0</v>
      </c>
      <c r="AJ10" s="7">
        <f>IF(ISERROR(($C10-SUM($I10:AI10))/($A10-COUNTA($I10:AI10))),0,($C10-SUM($I10:AI10))/($A10-COUNTA($I10:AI10)))</f>
        <v>0</v>
      </c>
      <c r="AK10" s="7">
        <f>IF(ISERROR(($C10-SUM($I10:AJ10))/($A10-COUNTA($I10:AJ10))),0,($C10-SUM($I10:AJ10))/($A10-COUNTA($I10:AJ10)))</f>
        <v>0</v>
      </c>
      <c r="AL10" s="7">
        <f>IF(ISERROR(($C10-SUM($I10:AK10))/($A10-COUNTA($I10:AK10))),0,($C10-SUM($I10:AK10))/($A10-COUNTA($I10:AK10)))</f>
        <v>0</v>
      </c>
      <c r="AM10" s="7">
        <f>IF(ISERROR(($C10-SUM($I10:AL10))/($A10-COUNTA($I10:AL10))),0,($C10-SUM($I10:AL10))/($A10-COUNTA($I10:AL10)))</f>
        <v>0</v>
      </c>
      <c r="AN10" s="7">
        <f>IF(ISERROR(($C10-SUM($I10:AM10))/($A10-COUNTA($I10:AM10))),0,($C10-SUM($I10:AM10))/($A10-COUNTA($I10:AM10)))</f>
        <v>0</v>
      </c>
      <c r="AO10" s="7">
        <f>IF(ISERROR(($C10-SUM($I10:AN10))/($A10-COUNTA($I10:AN10))),0,($C10-SUM($I10:AN10))/($A10-COUNTA($I10:AN10)))</f>
        <v>0</v>
      </c>
      <c r="AP10" s="7">
        <f>IF(ISERROR(($C10-SUM($I10:AO10))/($A10-COUNTA($I10:AO10))),0,($C10-SUM($I10:AO10))/($A10-COUNTA($I10:AO10)))</f>
        <v>0</v>
      </c>
      <c r="AQ10" s="7">
        <f>IF(ISERROR(($C10-SUM($I10:AP10))/($A10-COUNTA($I10:AP10))),0,($C10-SUM($I10:AP10))/($A10-COUNTA($I10:AP10)))</f>
        <v>0</v>
      </c>
      <c r="AR10" s="7">
        <f>IF(ISERROR(($C10-SUM($I10:AQ10))/($A10-COUNTA($I10:AQ10))),0,($C10-SUM($I10:AQ10))/($A10-COUNTA($I10:AQ10)))</f>
        <v>0</v>
      </c>
      <c r="AS10" s="7">
        <f>IF(ISERROR(($C10-SUM($I10:AR10))/($A10-COUNTA($I10:AR10))),0,($C10-SUM($I10:AR10))/($A10-COUNTA($I10:AR10)))</f>
        <v>0</v>
      </c>
      <c r="AT10" s="7">
        <f>IF(ISERROR(($C10-SUM($I10:AS10))/($A10-COUNTA($I10:AS10))),0,($C10-SUM($I10:AS10))/($A10-COUNTA($I10:AS10)))</f>
        <v>0</v>
      </c>
      <c r="AU10" s="7">
        <f>IF(ISERROR(($C10-SUM($I10:AT10))/($A10-COUNTA($I10:AT10))),0,($C10-SUM($I10:AT10))/($A10-COUNTA($I10:AT10)))</f>
        <v>0</v>
      </c>
      <c r="AV10" s="7">
        <f>IF(ISERROR(($C10-SUM($I10:AU10))/($A10-COUNTA($I10:AU10))),0,($C10-SUM($I10:AU10))/($A10-COUNTA($I10:AU10)))</f>
        <v>0</v>
      </c>
      <c r="AW10" s="7">
        <f>IF(ISERROR(($C10-SUM($I10:AV10))/($A10-COUNTA($I10:AV10))),0,($C10-SUM($I10:AV10))/($A10-COUNTA($I10:AV10)))</f>
        <v>0</v>
      </c>
      <c r="AX10" s="7">
        <f>IF(ISERROR(($C10-SUM($I10:AW10))/($A10-COUNTA($I10:AW10))),0,($C10-SUM($I10:AW10))/($A10-COUNTA($I10:AW10)))</f>
        <v>0</v>
      </c>
      <c r="AY10" s="7">
        <f>IF(ISERROR(($C10-SUM($I10:AX10))/($A10-COUNTA($I10:AX10))),0,($C10-SUM($I10:AX10))/($A10-COUNTA($I10:AX10)))</f>
        <v>0</v>
      </c>
      <c r="AZ10" s="7">
        <f>IF(ISERROR(($C10-SUM($I10:AY10))/($A10-COUNTA($I10:AY10))),0,($C10-SUM($I10:AY10))/($A10-COUNTA($I10:AY10)))</f>
        <v>0</v>
      </c>
      <c r="BA10" s="7">
        <f>IF(ISERROR(($C10-SUM($I10:AZ10))/($A10-COUNTA($I10:AZ10))),0,($C10-SUM($I10:AZ10))/($A10-COUNTA($I10:AZ10)))</f>
        <v>0</v>
      </c>
      <c r="BB10" s="7">
        <f>IF(ISERROR(($C10-SUM($I10:BA10))/($A10-COUNTA($I10:BA10))),0,($C10-SUM($I10:BA10))/($A10-COUNTA($I10:BA10)))</f>
        <v>0</v>
      </c>
      <c r="BC10" s="7">
        <f>IF(ISERROR(($C10-SUM($I10:BB10))/($A10-COUNTA($I10:BB10))),0,($C10-SUM($I10:BB10))/($A10-COUNTA($I10:BB10)))</f>
        <v>0</v>
      </c>
      <c r="BD10" s="7">
        <f>IF(ISERROR(($C10-SUM($I10:BC10))/($A10-COUNTA($I10:BC10))),0,($C10-SUM($I10:BC10))/($A10-COUNTA($I10:BC10)))</f>
        <v>0</v>
      </c>
      <c r="BE10" s="7">
        <f>IF(ISERROR(($C10-SUM($I10:BD10))/($A10-COUNTA($I10:BD10))),0,($C10-SUM($I10:BD10))/($A10-COUNTA($I10:BD10)))</f>
        <v>0</v>
      </c>
      <c r="BF10" s="7">
        <f>IF(ISERROR(($C10-SUM($I10:BE10))/($A10-COUNTA($I10:BE10))),0,($C10-SUM($I10:BE10))/($A10-COUNTA($I10:BE10)))</f>
        <v>0</v>
      </c>
      <c r="BG10" s="7">
        <f>IF(ISERROR(($C10-SUM($I10:BF10))/($A10-COUNTA($I10:BF10))),0,($C10-SUM($I10:BF10))/($A10-COUNTA($I10:BF10)))</f>
        <v>0</v>
      </c>
      <c r="BH10" s="7">
        <f>IF(ISERROR(($C10-SUM($I10:BG10))/($A10-COUNTA($I10:BG10))),0,($C10-SUM($I10:BG10))/($A10-COUNTA($I10:BG10)))</f>
        <v>0</v>
      </c>
      <c r="BI10" s="7">
        <f>IF(ISERROR(($C10-SUM($I10:BH10))/($A10-COUNTA($I10:BH10))),0,($C10-SUM($I10:BH10))/($A10-COUNTA($I10:BH10)))</f>
        <v>0</v>
      </c>
    </row>
    <row r="11" spans="1:61" x14ac:dyDescent="0.3">
      <c r="A11">
        <v>8</v>
      </c>
      <c r="B11">
        <v>16</v>
      </c>
      <c r="C11">
        <v>160</v>
      </c>
      <c r="D11">
        <f t="shared" si="1"/>
        <v>87</v>
      </c>
      <c r="E11">
        <f t="shared" si="0"/>
        <v>73</v>
      </c>
      <c r="F11" t="s">
        <v>10</v>
      </c>
      <c r="I11" s="6">
        <v>47</v>
      </c>
      <c r="J11" s="6">
        <v>40</v>
      </c>
      <c r="K11" s="7">
        <f>IF(ISERROR(($C11-SUM($I11:J11))/($A11-COUNTA($I11:J11))),0,($C11-SUM($I11:J11))/($A11-COUNTA($I11:J11)))</f>
        <v>12.166666666666666</v>
      </c>
      <c r="L11" s="7">
        <f>IF(ISERROR(($C11-SUM($I11:K11))/($A11-COUNTA($I11:K11))),0,($C11-SUM($I11:K11))/($A11-COUNTA($I11:K11)))</f>
        <v>12.166666666666666</v>
      </c>
      <c r="M11" s="7">
        <f>IF(ISERROR(($C11-SUM($I11:L11))/($A11-COUNTA($I11:L11))),0,($C11-SUM($I11:L11))/($A11-COUNTA($I11:L11)))</f>
        <v>12.166666666666664</v>
      </c>
      <c r="N11" s="7">
        <f>IF(ISERROR(($C11-SUM($I11:M11))/($A11-COUNTA($I11:M11))),0,($C11-SUM($I11:M11))/($A11-COUNTA($I11:M11)))</f>
        <v>12.166666666666666</v>
      </c>
      <c r="O11" s="7">
        <f>IF(ISERROR(($C11-SUM($I11:N11))/($A11-COUNTA($I11:N11))),0,($C11-SUM($I11:N11))/($A11-COUNTA($I11:N11)))</f>
        <v>12.166666666666671</v>
      </c>
      <c r="P11" s="7">
        <f>IF(ISERROR(($C11-SUM($I11:O11))/($A11-COUNTA($I11:O11))),0,($C11-SUM($I11:O11))/($A11-COUNTA($I11:O11)))</f>
        <v>12.166666666666686</v>
      </c>
      <c r="Q11" s="7">
        <f>IF(ISERROR(($C11-SUM($I11:P11))/($A11-COUNTA($I11:P11))),0,($C11-SUM($I11:P11))/($A11-COUNTA($I11:P11)))</f>
        <v>0</v>
      </c>
      <c r="R11" s="7">
        <f>IF(ISERROR(($C11-SUM($I11:Q11))/($A11-COUNTA($I11:Q11))),0,($C11-SUM($I11:Q11))/($A11-COUNTA($I11:Q11)))</f>
        <v>0</v>
      </c>
      <c r="S11" s="7">
        <f>IF(ISERROR(($C11-SUM($I11:R11))/($A11-COUNTA($I11:R11))),0,($C11-SUM($I11:R11))/($A11-COUNTA($I11:R11)))</f>
        <v>0</v>
      </c>
      <c r="T11" s="7">
        <f>IF(ISERROR(($C11-SUM($I11:S11))/($A11-COUNTA($I11:S11))),0,($C11-SUM($I11:S11))/($A11-COUNTA($I11:S11)))</f>
        <v>0</v>
      </c>
      <c r="U11" s="7">
        <f>IF(ISERROR(($C11-SUM($I11:T11))/($A11-COUNTA($I11:T11))),0,($C11-SUM($I11:T11))/($A11-COUNTA($I11:T11)))</f>
        <v>0</v>
      </c>
      <c r="V11" s="7">
        <f>IF(ISERROR(($C11-SUM($I11:U11))/($A11-COUNTA($I11:U11))),0,($C11-SUM($I11:U11))/($A11-COUNTA($I11:U11)))</f>
        <v>0</v>
      </c>
      <c r="W11" s="7">
        <f>IF(ISERROR(($C11-SUM($I11:V11))/($A11-COUNTA($I11:V11))),0,($C11-SUM($I11:V11))/($A11-COUNTA($I11:V11)))</f>
        <v>0</v>
      </c>
      <c r="X11" s="7">
        <f>IF(ISERROR(($C11-SUM($I11:W11))/($A11-COUNTA($I11:W11))),0,($C11-SUM($I11:W11))/($A11-COUNTA($I11:W11)))</f>
        <v>0</v>
      </c>
      <c r="Y11" s="7">
        <f>IF(ISERROR(($C11-SUM($I11:X11))/($A11-COUNTA($I11:X11))),0,($C11-SUM($I11:X11))/($A11-COUNTA($I11:X11)))</f>
        <v>0</v>
      </c>
      <c r="Z11" s="7">
        <f>IF(ISERROR(($C11-SUM($I11:Y11))/($A11-COUNTA($I11:Y11))),0,($C11-SUM($I11:Y11))/($A11-COUNTA($I11:Y11)))</f>
        <v>0</v>
      </c>
      <c r="AA11" s="7">
        <f>IF(ISERROR(($C11-SUM($I11:Z11))/($A11-COUNTA($I11:Z11))),0,($C11-SUM($I11:Z11))/($A11-COUNTA($I11:Z11)))</f>
        <v>0</v>
      </c>
      <c r="AB11" s="7">
        <f>IF(ISERROR(($C11-SUM($I11:AA11))/($A11-COUNTA($I11:AA11))),0,($C11-SUM($I11:AA11))/($A11-COUNTA($I11:AA11)))</f>
        <v>0</v>
      </c>
      <c r="AC11" s="7">
        <f>IF(ISERROR(($C11-SUM($I11:AB11))/($A11-COUNTA($I11:AB11))),0,($C11-SUM($I11:AB11))/($A11-COUNTA($I11:AB11)))</f>
        <v>0</v>
      </c>
      <c r="AD11" s="7">
        <f>IF(ISERROR(($C11-SUM($I11:AC11))/($A11-COUNTA($I11:AC11))),0,($C11-SUM($I11:AC11))/($A11-COUNTA($I11:AC11)))</f>
        <v>0</v>
      </c>
      <c r="AE11" s="7">
        <f>IF(ISERROR(($C11-SUM($I11:AD11))/($A11-COUNTA($I11:AD11))),0,($C11-SUM($I11:AD11))/($A11-COUNTA($I11:AD11)))</f>
        <v>0</v>
      </c>
      <c r="AF11" s="7">
        <f>IF(ISERROR(($C11-SUM($I11:AE11))/($A11-COUNTA($I11:AE11))),0,($C11-SUM($I11:AE11))/($A11-COUNTA($I11:AE11)))</f>
        <v>0</v>
      </c>
      <c r="AG11" s="7">
        <f>IF(ISERROR(($C11-SUM($I11:AF11))/($A11-COUNTA($I11:AF11))),0,($C11-SUM($I11:AF11))/($A11-COUNTA($I11:AF11)))</f>
        <v>0</v>
      </c>
      <c r="AH11" s="7">
        <f>IF(ISERROR(($C11-SUM($I11:AG11))/($A11-COUNTA($I11:AG11))),0,($C11-SUM($I11:AG11))/($A11-COUNTA($I11:AG11)))</f>
        <v>0</v>
      </c>
      <c r="AI11" s="7">
        <f>IF(ISERROR(($C11-SUM($I11:AH11))/($A11-COUNTA($I11:AH11))),0,($C11-SUM($I11:AH11))/($A11-COUNTA($I11:AH11)))</f>
        <v>0</v>
      </c>
      <c r="AJ11" s="7">
        <f>IF(ISERROR(($C11-SUM($I11:AI11))/($A11-COUNTA($I11:AI11))),0,($C11-SUM($I11:AI11))/($A11-COUNTA($I11:AI11)))</f>
        <v>0</v>
      </c>
      <c r="AK11" s="7">
        <f>IF(ISERROR(($C11-SUM($I11:AJ11))/($A11-COUNTA($I11:AJ11))),0,($C11-SUM($I11:AJ11))/($A11-COUNTA($I11:AJ11)))</f>
        <v>0</v>
      </c>
      <c r="AL11" s="7">
        <f>IF(ISERROR(($C11-SUM($I11:AK11))/($A11-COUNTA($I11:AK11))),0,($C11-SUM($I11:AK11))/($A11-COUNTA($I11:AK11)))</f>
        <v>0</v>
      </c>
      <c r="AM11" s="7">
        <f>IF(ISERROR(($C11-SUM($I11:AL11))/($A11-COUNTA($I11:AL11))),0,($C11-SUM($I11:AL11))/($A11-COUNTA($I11:AL11)))</f>
        <v>0</v>
      </c>
      <c r="AN11" s="7">
        <f>IF(ISERROR(($C11-SUM($I11:AM11))/($A11-COUNTA($I11:AM11))),0,($C11-SUM($I11:AM11))/($A11-COUNTA($I11:AM11)))</f>
        <v>0</v>
      </c>
      <c r="AO11" s="7">
        <f>IF(ISERROR(($C11-SUM($I11:AN11))/($A11-COUNTA($I11:AN11))),0,($C11-SUM($I11:AN11))/($A11-COUNTA($I11:AN11)))</f>
        <v>0</v>
      </c>
      <c r="AP11" s="7">
        <f>IF(ISERROR(($C11-SUM($I11:AO11))/($A11-COUNTA($I11:AO11))),0,($C11-SUM($I11:AO11))/($A11-COUNTA($I11:AO11)))</f>
        <v>0</v>
      </c>
      <c r="AQ11" s="7">
        <f>IF(ISERROR(($C11-SUM($I11:AP11))/($A11-COUNTA($I11:AP11))),0,($C11-SUM($I11:AP11))/($A11-COUNTA($I11:AP11)))</f>
        <v>0</v>
      </c>
      <c r="AR11" s="7">
        <f>IF(ISERROR(($C11-SUM($I11:AQ11))/($A11-COUNTA($I11:AQ11))),0,($C11-SUM($I11:AQ11))/($A11-COUNTA($I11:AQ11)))</f>
        <v>0</v>
      </c>
      <c r="AS11" s="7">
        <f>IF(ISERROR(($C11-SUM($I11:AR11))/($A11-COUNTA($I11:AR11))),0,($C11-SUM($I11:AR11))/($A11-COUNTA($I11:AR11)))</f>
        <v>0</v>
      </c>
      <c r="AT11" s="7">
        <f>IF(ISERROR(($C11-SUM($I11:AS11))/($A11-COUNTA($I11:AS11))),0,($C11-SUM($I11:AS11))/($A11-COUNTA($I11:AS11)))</f>
        <v>0</v>
      </c>
      <c r="AU11" s="7">
        <f>IF(ISERROR(($C11-SUM($I11:AT11))/($A11-COUNTA($I11:AT11))),0,($C11-SUM($I11:AT11))/($A11-COUNTA($I11:AT11)))</f>
        <v>0</v>
      </c>
      <c r="AV11" s="7">
        <f>IF(ISERROR(($C11-SUM($I11:AU11))/($A11-COUNTA($I11:AU11))),0,($C11-SUM($I11:AU11))/($A11-COUNTA($I11:AU11)))</f>
        <v>0</v>
      </c>
      <c r="AW11" s="7">
        <f>IF(ISERROR(($C11-SUM($I11:AV11))/($A11-COUNTA($I11:AV11))),0,($C11-SUM($I11:AV11))/($A11-COUNTA($I11:AV11)))</f>
        <v>0</v>
      </c>
      <c r="AX11" s="7">
        <f>IF(ISERROR(($C11-SUM($I11:AW11))/($A11-COUNTA($I11:AW11))),0,($C11-SUM($I11:AW11))/($A11-COUNTA($I11:AW11)))</f>
        <v>0</v>
      </c>
      <c r="AY11" s="7">
        <f>IF(ISERROR(($C11-SUM($I11:AX11))/($A11-COUNTA($I11:AX11))),0,($C11-SUM($I11:AX11))/($A11-COUNTA($I11:AX11)))</f>
        <v>0</v>
      </c>
      <c r="AZ11" s="7">
        <f>IF(ISERROR(($C11-SUM($I11:AY11))/($A11-COUNTA($I11:AY11))),0,($C11-SUM($I11:AY11))/($A11-COUNTA($I11:AY11)))</f>
        <v>0</v>
      </c>
      <c r="BA11" s="7">
        <f>IF(ISERROR(($C11-SUM($I11:AZ11))/($A11-COUNTA($I11:AZ11))),0,($C11-SUM($I11:AZ11))/($A11-COUNTA($I11:AZ11)))</f>
        <v>0</v>
      </c>
      <c r="BB11" s="7">
        <f>IF(ISERROR(($C11-SUM($I11:BA11))/($A11-COUNTA($I11:BA11))),0,($C11-SUM($I11:BA11))/($A11-COUNTA($I11:BA11)))</f>
        <v>0</v>
      </c>
      <c r="BC11" s="7">
        <f>IF(ISERROR(($C11-SUM($I11:BB11))/($A11-COUNTA($I11:BB11))),0,($C11-SUM($I11:BB11))/($A11-COUNTA($I11:BB11)))</f>
        <v>0</v>
      </c>
      <c r="BD11" s="7">
        <f>IF(ISERROR(($C11-SUM($I11:BC11))/($A11-COUNTA($I11:BC11))),0,($C11-SUM($I11:BC11))/($A11-COUNTA($I11:BC11)))</f>
        <v>0</v>
      </c>
      <c r="BE11" s="7">
        <f>IF(ISERROR(($C11-SUM($I11:BD11))/($A11-COUNTA($I11:BD11))),0,($C11-SUM($I11:BD11))/($A11-COUNTA($I11:BD11)))</f>
        <v>0</v>
      </c>
      <c r="BF11" s="7">
        <f>IF(ISERROR(($C11-SUM($I11:BE11))/($A11-COUNTA($I11:BE11))),0,($C11-SUM($I11:BE11))/($A11-COUNTA($I11:BE11)))</f>
        <v>0</v>
      </c>
      <c r="BG11" s="7">
        <f>IF(ISERROR(($C11-SUM($I11:BF11))/($A11-COUNTA($I11:BF11))),0,($C11-SUM($I11:BF11))/($A11-COUNTA($I11:BF11)))</f>
        <v>0</v>
      </c>
      <c r="BH11" s="7">
        <f>IF(ISERROR(($C11-SUM($I11:BG11))/($A11-COUNTA($I11:BG11))),0,($C11-SUM($I11:BG11))/($A11-COUNTA($I11:BG11)))</f>
        <v>0</v>
      </c>
      <c r="BI11" s="7">
        <f>IF(ISERROR(($C11-SUM($I11:BH11))/($A11-COUNTA($I11:BH11))),0,($C11-SUM($I11:BH11))/($A11-COUNTA($I11:BH11)))</f>
        <v>0</v>
      </c>
    </row>
    <row r="12" spans="1:61" x14ac:dyDescent="0.3">
      <c r="A12">
        <v>4</v>
      </c>
      <c r="B12">
        <v>12</v>
      </c>
      <c r="C12">
        <v>80</v>
      </c>
      <c r="D12">
        <f t="shared" si="1"/>
        <v>0</v>
      </c>
      <c r="E12">
        <f t="shared" si="0"/>
        <v>80</v>
      </c>
      <c r="F12" t="s">
        <v>12</v>
      </c>
      <c r="I12" s="6">
        <v>0</v>
      </c>
      <c r="J12" s="6">
        <v>0</v>
      </c>
      <c r="K12" s="7">
        <f>IF(ISERROR(($C12-SUM($I12:J12))/($A12-COUNTA($I12:J12))),0,($C12-SUM($I12:J12))/($A12-COUNTA($I12:J12)))</f>
        <v>40</v>
      </c>
      <c r="L12" s="7">
        <f>IF(ISERROR(($C12-SUM($I12:K12))/($A12-COUNTA($I12:K12))),0,($C12-SUM($I12:K12))/($A12-COUNTA($I12:K12)))</f>
        <v>40</v>
      </c>
      <c r="M12" s="7">
        <f>IF(ISERROR(($C12-SUM($I12:L12))/($A12-COUNTA($I12:L12))),0,($C12-SUM($I12:L12))/($A12-COUNTA($I12:L12)))</f>
        <v>0</v>
      </c>
      <c r="N12" s="7">
        <f>IF(ISERROR(($C12-SUM($I12:M12))/($A12-COUNTA($I12:M12))),0,($C12-SUM($I12:M12))/($A12-COUNTA($I12:M12)))</f>
        <v>0</v>
      </c>
      <c r="O12" s="7">
        <f>IF(ISERROR(($C12-SUM($I12:N12))/($A12-COUNTA($I12:N12))),0,($C12-SUM($I12:N12))/($A12-COUNTA($I12:N12)))</f>
        <v>0</v>
      </c>
      <c r="P12" s="7">
        <f>IF(ISERROR(($C12-SUM($I12:O12))/($A12-COUNTA($I12:O12))),0,($C12-SUM($I12:O12))/($A12-COUNTA($I12:O12)))</f>
        <v>0</v>
      </c>
      <c r="Q12" s="7">
        <f>IF(ISERROR(($C12-SUM($I12:P12))/($A12-COUNTA($I12:P12))),0,($C12-SUM($I12:P12))/($A12-COUNTA($I12:P12)))</f>
        <v>0</v>
      </c>
      <c r="R12" s="7">
        <f>IF(ISERROR(($C12-SUM($I12:Q12))/($A12-COUNTA($I12:Q12))),0,($C12-SUM($I12:Q12))/($A12-COUNTA($I12:Q12)))</f>
        <v>0</v>
      </c>
      <c r="S12" s="7">
        <f>IF(ISERROR(($C12-SUM($I12:R12))/($A12-COUNTA($I12:R12))),0,($C12-SUM($I12:R12))/($A12-COUNTA($I12:R12)))</f>
        <v>0</v>
      </c>
      <c r="T12" s="7">
        <f>IF(ISERROR(($C12-SUM($I12:S12))/($A12-COUNTA($I12:S12))),0,($C12-SUM($I12:S12))/($A12-COUNTA($I12:S12)))</f>
        <v>0</v>
      </c>
      <c r="U12" s="7">
        <f>IF(ISERROR(($C12-SUM($I12:T12))/($A12-COUNTA($I12:T12))),0,($C12-SUM($I12:T12))/($A12-COUNTA($I12:T12)))</f>
        <v>0</v>
      </c>
      <c r="V12" s="7">
        <f>IF(ISERROR(($C12-SUM($I12:U12))/($A12-COUNTA($I12:U12))),0,($C12-SUM($I12:U12))/($A12-COUNTA($I12:U12)))</f>
        <v>0</v>
      </c>
      <c r="W12" s="7">
        <f>IF(ISERROR(($C12-SUM($I12:V12))/($A12-COUNTA($I12:V12))),0,($C12-SUM($I12:V12))/($A12-COUNTA($I12:V12)))</f>
        <v>0</v>
      </c>
      <c r="X12" s="7">
        <f>IF(ISERROR(($C12-SUM($I12:W12))/($A12-COUNTA($I12:W12))),0,($C12-SUM($I12:W12))/($A12-COUNTA($I12:W12)))</f>
        <v>0</v>
      </c>
      <c r="Y12" s="7">
        <f>IF(ISERROR(($C12-SUM($I12:X12))/($A12-COUNTA($I12:X12))),0,($C12-SUM($I12:X12))/($A12-COUNTA($I12:X12)))</f>
        <v>0</v>
      </c>
      <c r="Z12" s="7">
        <f>IF(ISERROR(($C12-SUM($I12:Y12))/($A12-COUNTA($I12:Y12))),0,($C12-SUM($I12:Y12))/($A12-COUNTA($I12:Y12)))</f>
        <v>0</v>
      </c>
      <c r="AA12" s="7">
        <f>IF(ISERROR(($C12-SUM($I12:Z12))/($A12-COUNTA($I12:Z12))),0,($C12-SUM($I12:Z12))/($A12-COUNTA($I12:Z12)))</f>
        <v>0</v>
      </c>
      <c r="AB12" s="7">
        <f>IF(ISERROR(($C12-SUM($I12:AA12))/($A12-COUNTA($I12:AA12))),0,($C12-SUM($I12:AA12))/($A12-COUNTA($I12:AA12)))</f>
        <v>0</v>
      </c>
      <c r="AC12" s="7">
        <f>IF(ISERROR(($C12-SUM($I12:AB12))/($A12-COUNTA($I12:AB12))),0,($C12-SUM($I12:AB12))/($A12-COUNTA($I12:AB12)))</f>
        <v>0</v>
      </c>
      <c r="AD12" s="7">
        <f>IF(ISERROR(($C12-SUM($I12:AC12))/($A12-COUNTA($I12:AC12))),0,($C12-SUM($I12:AC12))/($A12-COUNTA($I12:AC12)))</f>
        <v>0</v>
      </c>
      <c r="AE12" s="7">
        <f>IF(ISERROR(($C12-SUM($I12:AD12))/($A12-COUNTA($I12:AD12))),0,($C12-SUM($I12:AD12))/($A12-COUNTA($I12:AD12)))</f>
        <v>0</v>
      </c>
      <c r="AF12" s="7">
        <f>IF(ISERROR(($C12-SUM($I12:AE12))/($A12-COUNTA($I12:AE12))),0,($C12-SUM($I12:AE12))/($A12-COUNTA($I12:AE12)))</f>
        <v>0</v>
      </c>
      <c r="AG12" s="7">
        <f>IF(ISERROR(($C12-SUM($I12:AF12))/($A12-COUNTA($I12:AF12))),0,($C12-SUM($I12:AF12))/($A12-COUNTA($I12:AF12)))</f>
        <v>0</v>
      </c>
      <c r="AH12" s="7">
        <f>IF(ISERROR(($C12-SUM($I12:AG12))/($A12-COUNTA($I12:AG12))),0,($C12-SUM($I12:AG12))/($A12-COUNTA($I12:AG12)))</f>
        <v>0</v>
      </c>
      <c r="AI12" s="7">
        <f>IF(ISERROR(($C12-SUM($I12:AH12))/($A12-COUNTA($I12:AH12))),0,($C12-SUM($I12:AH12))/($A12-COUNTA($I12:AH12)))</f>
        <v>0</v>
      </c>
      <c r="AJ12" s="7">
        <f>IF(ISERROR(($C12-SUM($I12:AI12))/($A12-COUNTA($I12:AI12))),0,($C12-SUM($I12:AI12))/($A12-COUNTA($I12:AI12)))</f>
        <v>0</v>
      </c>
      <c r="AK12" s="7">
        <f>IF(ISERROR(($C12-SUM($I12:AJ12))/($A12-COUNTA($I12:AJ12))),0,($C12-SUM($I12:AJ12))/($A12-COUNTA($I12:AJ12)))</f>
        <v>0</v>
      </c>
      <c r="AL12" s="7">
        <f>IF(ISERROR(($C12-SUM($I12:AK12))/($A12-COUNTA($I12:AK12))),0,($C12-SUM($I12:AK12))/($A12-COUNTA($I12:AK12)))</f>
        <v>0</v>
      </c>
      <c r="AM12" s="7">
        <f>IF(ISERROR(($C12-SUM($I12:AL12))/($A12-COUNTA($I12:AL12))),0,($C12-SUM($I12:AL12))/($A12-COUNTA($I12:AL12)))</f>
        <v>0</v>
      </c>
      <c r="AN12" s="7">
        <f>IF(ISERROR(($C12-SUM($I12:AM12))/($A12-COUNTA($I12:AM12))),0,($C12-SUM($I12:AM12))/($A12-COUNTA($I12:AM12)))</f>
        <v>0</v>
      </c>
      <c r="AO12" s="7">
        <f>IF(ISERROR(($C12-SUM($I12:AN12))/($A12-COUNTA($I12:AN12))),0,($C12-SUM($I12:AN12))/($A12-COUNTA($I12:AN12)))</f>
        <v>0</v>
      </c>
      <c r="AP12" s="7">
        <f>IF(ISERROR(($C12-SUM($I12:AO12))/($A12-COUNTA($I12:AO12))),0,($C12-SUM($I12:AO12))/($A12-COUNTA($I12:AO12)))</f>
        <v>0</v>
      </c>
      <c r="AQ12" s="7">
        <f>IF(ISERROR(($C12-SUM($I12:AP12))/($A12-COUNTA($I12:AP12))),0,($C12-SUM($I12:AP12))/($A12-COUNTA($I12:AP12)))</f>
        <v>0</v>
      </c>
      <c r="AR12" s="7">
        <f>IF(ISERROR(($C12-SUM($I12:AQ12))/($A12-COUNTA($I12:AQ12))),0,($C12-SUM($I12:AQ12))/($A12-COUNTA($I12:AQ12)))</f>
        <v>0</v>
      </c>
      <c r="AS12" s="7">
        <f>IF(ISERROR(($C12-SUM($I12:AR12))/($A12-COUNTA($I12:AR12))),0,($C12-SUM($I12:AR12))/($A12-COUNTA($I12:AR12)))</f>
        <v>0</v>
      </c>
      <c r="AT12" s="7">
        <f>IF(ISERROR(($C12-SUM($I12:AS12))/($A12-COUNTA($I12:AS12))),0,($C12-SUM($I12:AS12))/($A12-COUNTA($I12:AS12)))</f>
        <v>0</v>
      </c>
      <c r="AU12" s="7">
        <f>IF(ISERROR(($C12-SUM($I12:AT12))/($A12-COUNTA($I12:AT12))),0,($C12-SUM($I12:AT12))/($A12-COUNTA($I12:AT12)))</f>
        <v>0</v>
      </c>
      <c r="AV12" s="7">
        <f>IF(ISERROR(($C12-SUM($I12:AU12))/($A12-COUNTA($I12:AU12))),0,($C12-SUM($I12:AU12))/($A12-COUNTA($I12:AU12)))</f>
        <v>0</v>
      </c>
      <c r="AW12" s="7">
        <f>IF(ISERROR(($C12-SUM($I12:AV12))/($A12-COUNTA($I12:AV12))),0,($C12-SUM($I12:AV12))/($A12-COUNTA($I12:AV12)))</f>
        <v>0</v>
      </c>
      <c r="AX12" s="7">
        <f>IF(ISERROR(($C12-SUM($I12:AW12))/($A12-COUNTA($I12:AW12))),0,($C12-SUM($I12:AW12))/($A12-COUNTA($I12:AW12)))</f>
        <v>0</v>
      </c>
      <c r="AY12" s="7">
        <f>IF(ISERROR(($C12-SUM($I12:AX12))/($A12-COUNTA($I12:AX12))),0,($C12-SUM($I12:AX12))/($A12-COUNTA($I12:AX12)))</f>
        <v>0</v>
      </c>
      <c r="AZ12" s="7">
        <f>IF(ISERROR(($C12-SUM($I12:AY12))/($A12-COUNTA($I12:AY12))),0,($C12-SUM($I12:AY12))/($A12-COUNTA($I12:AY12)))</f>
        <v>0</v>
      </c>
      <c r="BA12" s="7">
        <f>IF(ISERROR(($C12-SUM($I12:AZ12))/($A12-COUNTA($I12:AZ12))),0,($C12-SUM($I12:AZ12))/($A12-COUNTA($I12:AZ12)))</f>
        <v>0</v>
      </c>
      <c r="BB12" s="7">
        <f>IF(ISERROR(($C12-SUM($I12:BA12))/($A12-COUNTA($I12:BA12))),0,($C12-SUM($I12:BA12))/($A12-COUNTA($I12:BA12)))</f>
        <v>0</v>
      </c>
      <c r="BC12" s="7">
        <f>IF(ISERROR(($C12-SUM($I12:BB12))/($A12-COUNTA($I12:BB12))),0,($C12-SUM($I12:BB12))/($A12-COUNTA($I12:BB12)))</f>
        <v>0</v>
      </c>
      <c r="BD12" s="7">
        <f>IF(ISERROR(($C12-SUM($I12:BC12))/($A12-COUNTA($I12:BC12))),0,($C12-SUM($I12:BC12))/($A12-COUNTA($I12:BC12)))</f>
        <v>0</v>
      </c>
      <c r="BE12" s="7">
        <f>IF(ISERROR(($C12-SUM($I12:BD12))/($A12-COUNTA($I12:BD12))),0,($C12-SUM($I12:BD12))/($A12-COUNTA($I12:BD12)))</f>
        <v>0</v>
      </c>
      <c r="BF12" s="7">
        <f>IF(ISERROR(($C12-SUM($I12:BE12))/($A12-COUNTA($I12:BE12))),0,($C12-SUM($I12:BE12))/($A12-COUNTA($I12:BE12)))</f>
        <v>0</v>
      </c>
      <c r="BG12" s="7">
        <f>IF(ISERROR(($C12-SUM($I12:BF12))/($A12-COUNTA($I12:BF12))),0,($C12-SUM($I12:BF12))/($A12-COUNTA($I12:BF12)))</f>
        <v>0</v>
      </c>
      <c r="BH12" s="7">
        <f>IF(ISERROR(($C12-SUM($I12:BG12))/($A12-COUNTA($I12:BG12))),0,($C12-SUM($I12:BG12))/($A12-COUNTA($I12:BG12)))</f>
        <v>0</v>
      </c>
      <c r="BI12" s="7">
        <f>IF(ISERROR(($C12-SUM($I12:BH12))/($A12-COUNTA($I12:BH12))),0,($C12-SUM($I12:BH12))/($A12-COUNTA($I12:BH12)))</f>
        <v>0</v>
      </c>
    </row>
    <row r="13" spans="1:61" x14ac:dyDescent="0.3">
      <c r="A13">
        <v>24</v>
      </c>
      <c r="B13">
        <v>12</v>
      </c>
      <c r="C13">
        <v>800</v>
      </c>
      <c r="D13">
        <f t="shared" si="1"/>
        <v>0</v>
      </c>
      <c r="E13">
        <f t="shared" si="0"/>
        <v>800</v>
      </c>
      <c r="F13" t="s">
        <v>16</v>
      </c>
      <c r="I13" s="6">
        <v>0</v>
      </c>
      <c r="J13" s="6">
        <v>0</v>
      </c>
      <c r="K13" s="7">
        <f>IF(ISERROR(($C13-SUM($I13:J13))/($A13-COUNTA($I13:J13))),0,($C13-SUM($I13:J13))/($A13-COUNTA($I13:J13)))</f>
        <v>36.363636363636367</v>
      </c>
      <c r="L13" s="7">
        <f>IF(ISERROR(($C13-SUM($I13:K13))/($A13-COUNTA($I13:K13))),0,($C13-SUM($I13:K13))/($A13-COUNTA($I13:K13)))</f>
        <v>36.36363636363636</v>
      </c>
      <c r="M13" s="7">
        <f>IF(ISERROR(($C13-SUM($I13:L13))/($A13-COUNTA($I13:L13))),0,($C13-SUM($I13:L13))/($A13-COUNTA($I13:L13)))</f>
        <v>36.36363636363636</v>
      </c>
      <c r="N13" s="7">
        <f>IF(ISERROR(($C13-SUM($I13:M13))/($A13-COUNTA($I13:M13))),0,($C13-SUM($I13:M13))/($A13-COUNTA($I13:M13)))</f>
        <v>36.36363636363636</v>
      </c>
      <c r="O13" s="7">
        <f>IF(ISERROR(($C13-SUM($I13:N13))/($A13-COUNTA($I13:N13))),0,($C13-SUM($I13:N13))/($A13-COUNTA($I13:N13)))</f>
        <v>36.36363636363636</v>
      </c>
      <c r="P13" s="7">
        <f>IF(ISERROR(($C13-SUM($I13:O13))/($A13-COUNTA($I13:O13))),0,($C13-SUM($I13:O13))/($A13-COUNTA($I13:O13)))</f>
        <v>36.363636363636367</v>
      </c>
      <c r="Q13" s="7">
        <f>IF(ISERROR(($C13-SUM($I13:P13))/($A13-COUNTA($I13:P13))),0,($C13-SUM($I13:P13))/($A13-COUNTA($I13:P13)))</f>
        <v>36.36363636363636</v>
      </c>
      <c r="R13" s="7">
        <f>IF(ISERROR(($C13-SUM($I13:Q13))/($A13-COUNTA($I13:Q13))),0,($C13-SUM($I13:Q13))/($A13-COUNTA($I13:Q13)))</f>
        <v>36.363636363636367</v>
      </c>
      <c r="S13" s="7">
        <f>IF(ISERROR(($C13-SUM($I13:R13))/($A13-COUNTA($I13:R13))),0,($C13-SUM($I13:R13))/($A13-COUNTA($I13:R13)))</f>
        <v>36.36363636363636</v>
      </c>
      <c r="T13" s="7">
        <f>IF(ISERROR(($C13-SUM($I13:S13))/($A13-COUNTA($I13:S13))),0,($C13-SUM($I13:S13))/($A13-COUNTA($I13:S13)))</f>
        <v>36.36363636363636</v>
      </c>
      <c r="U13" s="7">
        <f>IF(ISERROR(($C13-SUM($I13:T13))/($A13-COUNTA($I13:T13))),0,($C13-SUM($I13:T13))/($A13-COUNTA($I13:T13)))</f>
        <v>36.36363636363636</v>
      </c>
      <c r="V13" s="7">
        <f>IF(ISERROR(($C13-SUM($I13:U13))/($A13-COUNTA($I13:U13))),0,($C13-SUM($I13:U13))/($A13-COUNTA($I13:U13)))</f>
        <v>36.36363636363636</v>
      </c>
      <c r="W13" s="7">
        <f>IF(ISERROR(($C13-SUM($I13:V13))/($A13-COUNTA($I13:V13))),0,($C13-SUM($I13:V13))/($A13-COUNTA($I13:V13)))</f>
        <v>36.36363636363636</v>
      </c>
      <c r="X13" s="7">
        <f>IF(ISERROR(($C13-SUM($I13:W13))/($A13-COUNTA($I13:W13))),0,($C13-SUM($I13:W13))/($A13-COUNTA($I13:W13)))</f>
        <v>36.363636363636353</v>
      </c>
      <c r="Y13" s="7">
        <f>IF(ISERROR(($C13-SUM($I13:X13))/($A13-COUNTA($I13:X13))),0,($C13-SUM($I13:X13))/($A13-COUNTA($I13:X13)))</f>
        <v>36.363636363636353</v>
      </c>
      <c r="Z13" s="7">
        <f>IF(ISERROR(($C13-SUM($I13:Y13))/($A13-COUNTA($I13:Y13))),0,($C13-SUM($I13:Y13))/($A13-COUNTA($I13:Y13)))</f>
        <v>36.36363636363636</v>
      </c>
      <c r="AA13" s="7">
        <f>IF(ISERROR(($C13-SUM($I13:Z13))/($A13-COUNTA($I13:Z13))),0,($C13-SUM($I13:Z13))/($A13-COUNTA($I13:Z13)))</f>
        <v>36.363636363636353</v>
      </c>
      <c r="AB13" s="7">
        <f>IF(ISERROR(($C13-SUM($I13:AA13))/($A13-COUNTA($I13:AA13))),0,($C13-SUM($I13:AA13))/($A13-COUNTA($I13:AA13)))</f>
        <v>36.363636363636353</v>
      </c>
      <c r="AC13" s="7">
        <f>IF(ISERROR(($C13-SUM($I13:AB13))/($A13-COUNTA($I13:AB13))),0,($C13-SUM($I13:AB13))/($A13-COUNTA($I13:AB13)))</f>
        <v>36.363636363636346</v>
      </c>
      <c r="AD13" s="7">
        <f>IF(ISERROR(($C13-SUM($I13:AC13))/($A13-COUNTA($I13:AC13))),0,($C13-SUM($I13:AC13))/($A13-COUNTA($I13:AC13)))</f>
        <v>36.363636363636338</v>
      </c>
      <c r="AE13" s="7">
        <f>IF(ISERROR(($C13-SUM($I13:AD13))/($A13-COUNTA($I13:AD13))),0,($C13-SUM($I13:AD13))/($A13-COUNTA($I13:AD13)))</f>
        <v>36.363636363636317</v>
      </c>
      <c r="AF13" s="7">
        <f>IF(ISERROR(($C13-SUM($I13:AE13))/($A13-COUNTA($I13:AE13))),0,($C13-SUM($I13:AE13))/($A13-COUNTA($I13:AE13)))</f>
        <v>36.36363636363626</v>
      </c>
      <c r="AG13" s="7">
        <f>IF(ISERROR(($C13-SUM($I13:AF13))/($A13-COUNTA($I13:AF13))),0,($C13-SUM($I13:AF13))/($A13-COUNTA($I13:AF13)))</f>
        <v>0</v>
      </c>
      <c r="AH13" s="7">
        <f>IF(ISERROR(($C13-SUM($I13:AG13))/($A13-COUNTA($I13:AG13))),0,($C13-SUM($I13:AG13))/($A13-COUNTA($I13:AG13)))</f>
        <v>0</v>
      </c>
      <c r="AI13" s="7">
        <f>IF(ISERROR(($C13-SUM($I13:AH13))/($A13-COUNTA($I13:AH13))),0,($C13-SUM($I13:AH13))/($A13-COUNTA($I13:AH13)))</f>
        <v>0</v>
      </c>
      <c r="AJ13" s="7">
        <f>IF(ISERROR(($C13-SUM($I13:AI13))/($A13-COUNTA($I13:AI13))),0,($C13-SUM($I13:AI13))/($A13-COUNTA($I13:AI13)))</f>
        <v>0</v>
      </c>
      <c r="AK13" s="7">
        <f>IF(ISERROR(($C13-SUM($I13:AJ13))/($A13-COUNTA($I13:AJ13))),0,($C13-SUM($I13:AJ13))/($A13-COUNTA($I13:AJ13)))</f>
        <v>0</v>
      </c>
      <c r="AL13" s="7">
        <f>IF(ISERROR(($C13-SUM($I13:AK13))/($A13-COUNTA($I13:AK13))),0,($C13-SUM($I13:AK13))/($A13-COUNTA($I13:AK13)))</f>
        <v>0</v>
      </c>
      <c r="AM13" s="7">
        <f>IF(ISERROR(($C13-SUM($I13:AL13))/($A13-COUNTA($I13:AL13))),0,($C13-SUM($I13:AL13))/($A13-COUNTA($I13:AL13)))</f>
        <v>0</v>
      </c>
      <c r="AN13" s="7">
        <f>IF(ISERROR(($C13-SUM($I13:AM13))/($A13-COUNTA($I13:AM13))),0,($C13-SUM($I13:AM13))/($A13-COUNTA($I13:AM13)))</f>
        <v>0</v>
      </c>
      <c r="AO13" s="7">
        <f>IF(ISERROR(($C13-SUM($I13:AN13))/($A13-COUNTA($I13:AN13))),0,($C13-SUM($I13:AN13))/($A13-COUNTA($I13:AN13)))</f>
        <v>0</v>
      </c>
      <c r="AP13" s="7">
        <f>IF(ISERROR(($C13-SUM($I13:AO13))/($A13-COUNTA($I13:AO13))),0,($C13-SUM($I13:AO13))/($A13-COUNTA($I13:AO13)))</f>
        <v>0</v>
      </c>
      <c r="AQ13" s="7">
        <f>IF(ISERROR(($C13-SUM($I13:AP13))/($A13-COUNTA($I13:AP13))),0,($C13-SUM($I13:AP13))/($A13-COUNTA($I13:AP13)))</f>
        <v>0</v>
      </c>
      <c r="AR13" s="7">
        <f>IF(ISERROR(($C13-SUM($I13:AQ13))/($A13-COUNTA($I13:AQ13))),0,($C13-SUM($I13:AQ13))/($A13-COUNTA($I13:AQ13)))</f>
        <v>0</v>
      </c>
      <c r="AS13" s="7">
        <f>IF(ISERROR(($C13-SUM($I13:AR13))/($A13-COUNTA($I13:AR13))),0,($C13-SUM($I13:AR13))/($A13-COUNTA($I13:AR13)))</f>
        <v>0</v>
      </c>
      <c r="AT13" s="7">
        <f>IF(ISERROR(($C13-SUM($I13:AS13))/($A13-COUNTA($I13:AS13))),0,($C13-SUM($I13:AS13))/($A13-COUNTA($I13:AS13)))</f>
        <v>0</v>
      </c>
      <c r="AU13" s="7">
        <f>IF(ISERROR(($C13-SUM($I13:AT13))/($A13-COUNTA($I13:AT13))),0,($C13-SUM($I13:AT13))/($A13-COUNTA($I13:AT13)))</f>
        <v>0</v>
      </c>
      <c r="AV13" s="7">
        <f>IF(ISERROR(($C13-SUM($I13:AU13))/($A13-COUNTA($I13:AU13))),0,($C13-SUM($I13:AU13))/($A13-COUNTA($I13:AU13)))</f>
        <v>0</v>
      </c>
      <c r="AW13" s="7">
        <f>IF(ISERROR(($C13-SUM($I13:AV13))/($A13-COUNTA($I13:AV13))),0,($C13-SUM($I13:AV13))/($A13-COUNTA($I13:AV13)))</f>
        <v>0</v>
      </c>
      <c r="AX13" s="7">
        <f>IF(ISERROR(($C13-SUM($I13:AW13))/($A13-COUNTA($I13:AW13))),0,($C13-SUM($I13:AW13))/($A13-COUNTA($I13:AW13)))</f>
        <v>0</v>
      </c>
      <c r="AY13" s="7">
        <f>IF(ISERROR(($C13-SUM($I13:AX13))/($A13-COUNTA($I13:AX13))),0,($C13-SUM($I13:AX13))/($A13-COUNTA($I13:AX13)))</f>
        <v>0</v>
      </c>
      <c r="AZ13" s="7">
        <f>IF(ISERROR(($C13-SUM($I13:AY13))/($A13-COUNTA($I13:AY13))),0,($C13-SUM($I13:AY13))/($A13-COUNTA($I13:AY13)))</f>
        <v>0</v>
      </c>
      <c r="BA13" s="7">
        <f>IF(ISERROR(($C13-SUM($I13:AZ13))/($A13-COUNTA($I13:AZ13))),0,($C13-SUM($I13:AZ13))/($A13-COUNTA($I13:AZ13)))</f>
        <v>0</v>
      </c>
      <c r="BB13" s="7">
        <f>IF(ISERROR(($C13-SUM($I13:BA13))/($A13-COUNTA($I13:BA13))),0,($C13-SUM($I13:BA13))/($A13-COUNTA($I13:BA13)))</f>
        <v>0</v>
      </c>
      <c r="BC13" s="7">
        <f>IF(ISERROR(($C13-SUM($I13:BB13))/($A13-COUNTA($I13:BB13))),0,($C13-SUM($I13:BB13))/($A13-COUNTA($I13:BB13)))</f>
        <v>0</v>
      </c>
      <c r="BD13" s="7">
        <f>IF(ISERROR(($C13-SUM($I13:BC13))/($A13-COUNTA($I13:BC13))),0,($C13-SUM($I13:BC13))/($A13-COUNTA($I13:BC13)))</f>
        <v>0</v>
      </c>
      <c r="BE13" s="7">
        <f>IF(ISERROR(($C13-SUM($I13:BD13))/($A13-COUNTA($I13:BD13))),0,($C13-SUM($I13:BD13))/($A13-COUNTA($I13:BD13)))</f>
        <v>0</v>
      </c>
      <c r="BF13" s="7">
        <f>IF(ISERROR(($C13-SUM($I13:BE13))/($A13-COUNTA($I13:BE13))),0,($C13-SUM($I13:BE13))/($A13-COUNTA($I13:BE13)))</f>
        <v>0</v>
      </c>
      <c r="BG13" s="7">
        <f>IF(ISERROR(($C13-SUM($I13:BF13))/($A13-COUNTA($I13:BF13))),0,($C13-SUM($I13:BF13))/($A13-COUNTA($I13:BF13)))</f>
        <v>0</v>
      </c>
      <c r="BH13" s="7">
        <f>IF(ISERROR(($C13-SUM($I13:BG13))/($A13-COUNTA($I13:BG13))),0,($C13-SUM($I13:BG13))/($A13-COUNTA($I13:BG13)))</f>
        <v>0</v>
      </c>
      <c r="BI13" s="7">
        <f>IF(ISERROR(($C13-SUM($I13:BH13))/($A13-COUNTA($I13:BH13))),0,($C13-SUM($I13:BH13))/($A13-COUNTA($I13:BH13)))</f>
        <v>0</v>
      </c>
    </row>
    <row r="14" spans="1:61" x14ac:dyDescent="0.3">
      <c r="A14">
        <v>0</v>
      </c>
      <c r="C14">
        <v>0</v>
      </c>
      <c r="D14">
        <f t="shared" si="1"/>
        <v>0</v>
      </c>
      <c r="E14">
        <f t="shared" si="0"/>
        <v>0</v>
      </c>
      <c r="F14" t="s">
        <v>17</v>
      </c>
    </row>
    <row r="15" spans="1:61" x14ac:dyDescent="0.3">
      <c r="A15">
        <v>0</v>
      </c>
      <c r="C15">
        <v>0</v>
      </c>
      <c r="D15">
        <f t="shared" si="1"/>
        <v>0</v>
      </c>
      <c r="E15">
        <f t="shared" si="0"/>
        <v>0</v>
      </c>
      <c r="F15" t="s">
        <v>18</v>
      </c>
    </row>
    <row r="16" spans="1:61" x14ac:dyDescent="0.3">
      <c r="A16">
        <v>0</v>
      </c>
      <c r="C16">
        <v>0</v>
      </c>
      <c r="D16">
        <f t="shared" si="1"/>
        <v>0</v>
      </c>
      <c r="E16">
        <f t="shared" si="0"/>
        <v>0</v>
      </c>
      <c r="F16" t="s">
        <v>19</v>
      </c>
    </row>
    <row r="17" spans="1:61" x14ac:dyDescent="0.3">
      <c r="A17">
        <v>0</v>
      </c>
      <c r="C17">
        <v>0</v>
      </c>
      <c r="D17">
        <f t="shared" si="1"/>
        <v>2</v>
      </c>
      <c r="E17">
        <f t="shared" si="0"/>
        <v>-2</v>
      </c>
      <c r="F17" t="s">
        <v>20</v>
      </c>
      <c r="I17" s="6">
        <v>2</v>
      </c>
    </row>
    <row r="18" spans="1:61" s="1" customFormat="1" x14ac:dyDescent="0.3">
      <c r="A18">
        <v>0</v>
      </c>
      <c r="B18"/>
      <c r="C18" s="1">
        <v>0</v>
      </c>
      <c r="D18" s="1">
        <f t="shared" si="1"/>
        <v>0</v>
      </c>
      <c r="E18" s="1">
        <f t="shared" si="0"/>
        <v>0</v>
      </c>
      <c r="F18" s="1" t="s">
        <v>21</v>
      </c>
    </row>
    <row r="19" spans="1:61" x14ac:dyDescent="0.3">
      <c r="F19" s="3" t="s">
        <v>37</v>
      </c>
      <c r="G19">
        <f>SUM(G10:G18)</f>
        <v>0</v>
      </c>
      <c r="H19">
        <f>SUM(H7:H18)</f>
        <v>960</v>
      </c>
      <c r="I19">
        <f>SUM(I5:I18)</f>
        <v>153.5</v>
      </c>
      <c r="J19">
        <f>SUM(J5:J18)</f>
        <v>143.5</v>
      </c>
      <c r="K19">
        <f>SUM(K5:K18)</f>
        <v>252.31439393939394</v>
      </c>
      <c r="L19">
        <f>SUM(L5:L18)</f>
        <v>252.31439393939394</v>
      </c>
      <c r="M19" s="7">
        <f>SUM(M5:M18)</f>
        <v>212.31439393939394</v>
      </c>
      <c r="N19">
        <f>SUM(N5:N18)</f>
        <v>212.31439393939394</v>
      </c>
      <c r="O19">
        <f>SUM(O5:O18)</f>
        <v>212.31439393939394</v>
      </c>
      <c r="P19">
        <f>SUM(P5:P18)</f>
        <v>212.31439393939397</v>
      </c>
      <c r="Q19">
        <f>SUM(Q5:Q18)</f>
        <v>200.14772727272725</v>
      </c>
      <c r="R19">
        <f>SUM(R5:R18)</f>
        <v>200.14772727272728</v>
      </c>
      <c r="S19">
        <f>SUM(S5:S18)</f>
        <v>200.14772727272725</v>
      </c>
      <c r="T19">
        <f>SUM(T5:T18)</f>
        <v>200.14772727272725</v>
      </c>
      <c r="U19">
        <f>SUM(U5:U18)</f>
        <v>155.64772727272725</v>
      </c>
      <c r="V19">
        <f>SUM(V5:V18)</f>
        <v>155.64772727272725</v>
      </c>
      <c r="W19">
        <f>SUM(W5:W18)</f>
        <v>155.64772727272725</v>
      </c>
      <c r="X19">
        <f>SUM(X5:X18)</f>
        <v>155.64772727272725</v>
      </c>
      <c r="Y19">
        <f>SUM(Y5:Y18)</f>
        <v>113.39772727272728</v>
      </c>
      <c r="Z19">
        <f>SUM(Z5:Z18)</f>
        <v>113.39772727272729</v>
      </c>
      <c r="AA19">
        <f>SUM(AA5:AA18)</f>
        <v>113.39772727272728</v>
      </c>
      <c r="AB19">
        <f>SUM(AB5:AB18)</f>
        <v>113.39772727272728</v>
      </c>
      <c r="AC19">
        <f>SUM(AC5:AC18)</f>
        <v>113.39772727272728</v>
      </c>
      <c r="AD19">
        <f>SUM(AD5:AD18)</f>
        <v>113.39772727272725</v>
      </c>
      <c r="AE19">
        <f>SUM(AE5:AE18)</f>
        <v>113.39772727272725</v>
      </c>
      <c r="AF19">
        <f>SUM(AF5:AF18)</f>
        <v>113.39772727272725</v>
      </c>
      <c r="AG19">
        <f>SUM(AG5:AG18)</f>
        <v>34.124999999999993</v>
      </c>
      <c r="AH19">
        <f>SUM(AH5:AH18)</f>
        <v>34.124999999999986</v>
      </c>
      <c r="AI19">
        <f>SUM(AI5:AI18)</f>
        <v>34.124999999999986</v>
      </c>
      <c r="AJ19">
        <f>SUM(AJ5:AJ18)</f>
        <v>34.124999999999986</v>
      </c>
      <c r="AK19">
        <f>SUM(AK5:AK18)</f>
        <v>34.124999999999986</v>
      </c>
      <c r="AL19">
        <f>SUM(AL5:AL18)</f>
        <v>34.124999999999986</v>
      </c>
      <c r="AM19">
        <f>SUM(AM5:AM18)</f>
        <v>34.124999999999986</v>
      </c>
      <c r="AN19">
        <f>SUM(AN5:AN18)</f>
        <v>34.124999999999979</v>
      </c>
      <c r="AO19">
        <f>SUM(AO5:AO18)</f>
        <v>34.124999999999972</v>
      </c>
      <c r="AP19">
        <f>SUM(AP5:AP18)</f>
        <v>34.124999999999979</v>
      </c>
      <c r="AQ19">
        <f>SUM(AQ5:AQ18)</f>
        <v>34.124999999999972</v>
      </c>
      <c r="AR19">
        <f>SUM(AR5:AR18)</f>
        <v>34.124999999999972</v>
      </c>
      <c r="AS19">
        <f>SUM(AS5:AS18)</f>
        <v>34.124999999999964</v>
      </c>
      <c r="AT19">
        <f>SUM(AT5:AT18)</f>
        <v>34.124999999999957</v>
      </c>
      <c r="AU19">
        <f>SUM(AU5:AU18)</f>
        <v>34.124999999999957</v>
      </c>
      <c r="AV19">
        <f>SUM(AV5:AV18)</f>
        <v>34.124999999999957</v>
      </c>
      <c r="AW19">
        <f>SUM(AW5:AW18)</f>
        <v>34.124999999999943</v>
      </c>
      <c r="AX19">
        <f>SUM(AX5:AX18)</f>
        <v>34.124999999999929</v>
      </c>
      <c r="AY19">
        <f>SUM(AY5:AY18)</f>
        <v>34.124999999999943</v>
      </c>
      <c r="AZ19">
        <f>SUM(AZ5:AZ18)</f>
        <v>34.124999999999964</v>
      </c>
      <c r="BA19">
        <f>SUM(BA5:BA18)</f>
        <v>34.124999999999943</v>
      </c>
      <c r="BB19">
        <f>SUM(BB5:BB18)</f>
        <v>34.124999999999886</v>
      </c>
      <c r="BC19">
        <f>SUM(BC5:BC18)</f>
        <v>0</v>
      </c>
      <c r="BD19">
        <f>SUM(BD5:BD18)</f>
        <v>0</v>
      </c>
      <c r="BE19">
        <f>SUM(BE5:BE18)</f>
        <v>0</v>
      </c>
      <c r="BF19">
        <f>SUM(BF5:BF18)</f>
        <v>0</v>
      </c>
      <c r="BG19">
        <f>SUM(BG5:BG18)</f>
        <v>0</v>
      </c>
      <c r="BH19">
        <f>SUM(BH5:BH18)</f>
        <v>0</v>
      </c>
      <c r="BI19">
        <f>SUM(BI5:BI18)</f>
        <v>0</v>
      </c>
    </row>
    <row r="21" spans="1:61" x14ac:dyDescent="0.3">
      <c r="F21" t="s">
        <v>36</v>
      </c>
      <c r="H21" s="4">
        <f>H19/H2</f>
        <v>5.1891891891891895</v>
      </c>
      <c r="I21" s="4">
        <f>I19/I2</f>
        <v>0.82972972972972969</v>
      </c>
      <c r="J21" s="4">
        <f>J19/J2</f>
        <v>0.77567567567567564</v>
      </c>
      <c r="K21" s="4">
        <f>K19/K2</f>
        <v>1.3638615888615888</v>
      </c>
      <c r="L21" s="4">
        <f>L19/L2</f>
        <v>1.3638615888615888</v>
      </c>
      <c r="M21" s="4">
        <f>M19/M2</f>
        <v>1.1476453726453726</v>
      </c>
      <c r="N21" s="4">
        <f>N19/N2</f>
        <v>1.1476453726453726</v>
      </c>
      <c r="O21" s="4">
        <f>O19/O2</f>
        <v>1.1476453726453726</v>
      </c>
      <c r="P21" s="4">
        <f>P19/P2</f>
        <v>1.1476453726453728</v>
      </c>
      <c r="Q21" s="4">
        <f>Q19/Q2</f>
        <v>1.0818796068796068</v>
      </c>
      <c r="R21" s="4">
        <f>R19/R2</f>
        <v>1.0818796068796068</v>
      </c>
      <c r="S21" s="4">
        <f>S19/S2</f>
        <v>1.0818796068796068</v>
      </c>
      <c r="T21" s="4">
        <f>T19/T2</f>
        <v>1.0818796068796068</v>
      </c>
      <c r="U21" s="4">
        <f>U19/U2</f>
        <v>0.84133906633906619</v>
      </c>
      <c r="V21" s="4">
        <f>V19/V2</f>
        <v>0.84133906633906619</v>
      </c>
      <c r="W21" s="4">
        <f>W19/W2</f>
        <v>0.84133906633906619</v>
      </c>
      <c r="X21" s="4">
        <f>X19/X2</f>
        <v>0.84133906633906619</v>
      </c>
      <c r="Y21" s="4">
        <f>Y19/Y2</f>
        <v>0.61296068796068803</v>
      </c>
      <c r="Z21" s="4">
        <f>Z19/Z2</f>
        <v>0.61296068796068803</v>
      </c>
      <c r="AA21" s="4">
        <f>AA19/AA2</f>
        <v>0.61296068796068803</v>
      </c>
      <c r="AB21" s="4">
        <f>AB19/AB2</f>
        <v>0.61296068796068803</v>
      </c>
      <c r="AC21" s="4">
        <f>AC19/AC2</f>
        <v>0.61296068796068803</v>
      </c>
      <c r="AD21" s="4">
        <f>AD19/AD2</f>
        <v>0.61296068796068781</v>
      </c>
      <c r="AE21" s="4">
        <f>AE19/AE2</f>
        <v>0.61296068796068781</v>
      </c>
      <c r="AF21" s="4">
        <f>AF19/AF2</f>
        <v>0.61296068796068781</v>
      </c>
      <c r="AG21" s="4">
        <f>AG19/AG2</f>
        <v>0.18445945945945941</v>
      </c>
      <c r="AH21" s="4">
        <f>AH19/AH2</f>
        <v>0.18445945945945938</v>
      </c>
      <c r="AI21" s="4">
        <f>AI19/AI2</f>
        <v>0.18445945945945938</v>
      </c>
      <c r="AJ21" s="4">
        <f>AJ19/AJ2</f>
        <v>0.18445945945945938</v>
      </c>
      <c r="AK21" s="4">
        <f>AK19/AK2</f>
        <v>0.18445945945945938</v>
      </c>
      <c r="AL21" s="4">
        <f>AL19/AL2</f>
        <v>0.18445945945945938</v>
      </c>
      <c r="AM21" s="4">
        <f>AM19/AM2</f>
        <v>0.18445945945945938</v>
      </c>
      <c r="AN21" s="4">
        <f>AN19/AN2</f>
        <v>0.18445945945945935</v>
      </c>
      <c r="AO21" s="4">
        <f>AO19/AO2</f>
        <v>0.1844594594594593</v>
      </c>
      <c r="AP21" s="4">
        <f>AP19/AP2</f>
        <v>0.18445945945945935</v>
      </c>
      <c r="AQ21" s="4">
        <f>AQ19/AQ2</f>
        <v>0.1844594594594593</v>
      </c>
      <c r="AR21" s="4">
        <f>AR19/AR2</f>
        <v>0.1844594594594593</v>
      </c>
      <c r="AS21" s="4">
        <f>AS19/AS2</f>
        <v>0.18445945945945927</v>
      </c>
      <c r="AT21" s="4">
        <f>AT19/AT2</f>
        <v>0.18445945945945924</v>
      </c>
      <c r="AU21" s="4">
        <f>AU19/AU2</f>
        <v>0.18445945945945924</v>
      </c>
      <c r="AV21" s="4">
        <f>AV19/AV2</f>
        <v>0.18445945945945924</v>
      </c>
      <c r="AW21" s="4">
        <f>AW19/AW2</f>
        <v>0.18445945945945916</v>
      </c>
      <c r="AX21" s="4">
        <f>AX19/AX2</f>
        <v>0.18445945945945907</v>
      </c>
      <c r="AY21" s="4">
        <f>AY19/AY2</f>
        <v>0.18445945945945916</v>
      </c>
      <c r="AZ21" s="4">
        <f>AZ19/AZ2</f>
        <v>0.18445945945945927</v>
      </c>
      <c r="BA21" s="4">
        <f>BA19/BA2</f>
        <v>0.18445945945945916</v>
      </c>
      <c r="BB21" s="4">
        <f>BB19/BB2</f>
        <v>0.18445945945945885</v>
      </c>
      <c r="BC21" s="4">
        <f>BC19/BC2</f>
        <v>0</v>
      </c>
      <c r="BD21" s="4">
        <f>BD19/BD2</f>
        <v>0</v>
      </c>
      <c r="BE21" s="4">
        <f>BE19/BE2</f>
        <v>0</v>
      </c>
      <c r="BF21" s="4">
        <f>BF19/BF2</f>
        <v>0</v>
      </c>
      <c r="BG21" s="4">
        <f>BG19/BG2</f>
        <v>0</v>
      </c>
      <c r="BH21" s="4">
        <f>BH19/BH2</f>
        <v>0</v>
      </c>
      <c r="BI21" s="4">
        <f>BI19/BI2</f>
        <v>0</v>
      </c>
    </row>
    <row r="26" spans="1:61" x14ac:dyDescent="0.3">
      <c r="F26" s="10">
        <f ca="1">MONTH(TODAY())</f>
        <v>2</v>
      </c>
      <c r="H26">
        <v>5</v>
      </c>
    </row>
    <row r="27" spans="1:61" x14ac:dyDescent="0.3">
      <c r="H27" s="10">
        <f ca="1">H26-F26</f>
        <v>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</vt:lpstr>
      <vt:lpstr>Devs</vt:lpstr>
      <vt:lpstr>Pla prova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Morte</dc:creator>
  <cp:lastModifiedBy>Kevin Morte</cp:lastModifiedBy>
  <dcterms:created xsi:type="dcterms:W3CDTF">2015-06-05T18:19:34Z</dcterms:created>
  <dcterms:modified xsi:type="dcterms:W3CDTF">2020-02-21T12:33:02Z</dcterms:modified>
</cp:coreProperties>
</file>