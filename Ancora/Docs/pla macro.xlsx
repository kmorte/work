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ancora\"/>
    </mc:Choice>
  </mc:AlternateContent>
  <xr:revisionPtr revIDLastSave="0" documentId="13_ncr:1_{C8E7F045-14F7-4685-98A6-7AFF1B012059}" xr6:coauthVersionLast="45" xr6:coauthVersionMax="45" xr10:uidLastSave="{00000000-0000-0000-0000-000000000000}"/>
  <bookViews>
    <workbookView xWindow="28680" yWindow="-1860" windowWidth="29040" windowHeight="15840" xr2:uid="{00000000-000D-0000-FFFF-FFFF00000000}"/>
  </bookViews>
  <sheets>
    <sheet name="Pla" sheetId="1" r:id="rId1"/>
    <sheet name="Dev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" i="1" l="1"/>
  <c r="G5" i="1"/>
  <c r="E5" i="1" l="1"/>
  <c r="L5" i="1"/>
  <c r="D5" i="1"/>
  <c r="K12" i="1"/>
  <c r="L12" i="1" s="1"/>
  <c r="L11" i="1"/>
  <c r="M11" i="1" s="1"/>
  <c r="K10" i="1"/>
  <c r="L10" i="1" s="1"/>
  <c r="K8" i="1"/>
  <c r="L8" i="1" s="1"/>
  <c r="K9" i="1"/>
  <c r="K11" i="1"/>
  <c r="K13" i="1"/>
  <c r="L7" i="1"/>
  <c r="K7" i="1"/>
  <c r="L6" i="1"/>
  <c r="K6" i="1"/>
  <c r="N11" i="1" l="1"/>
  <c r="O11" i="1" s="1"/>
  <c r="P11" i="1" s="1"/>
  <c r="M10" i="1"/>
  <c r="N10" i="1" s="1"/>
  <c r="M8" i="1"/>
  <c r="N8" i="1" s="1"/>
  <c r="M7" i="1"/>
  <c r="M6" i="1"/>
  <c r="M5" i="1"/>
  <c r="O10" i="1" l="1"/>
  <c r="O8" i="1"/>
  <c r="N7" i="1"/>
  <c r="O7" i="1"/>
  <c r="N6" i="1"/>
  <c r="N5" i="1"/>
  <c r="D6" i="1"/>
  <c r="E6" i="1" s="1"/>
  <c r="R13" i="1"/>
  <c r="D9" i="1"/>
  <c r="E9" i="1" s="1"/>
  <c r="E8" i="1"/>
  <c r="E17" i="1"/>
  <c r="E18" i="1"/>
  <c r="D7" i="1"/>
  <c r="E7" i="1" s="1"/>
  <c r="D8" i="1"/>
  <c r="D10" i="1"/>
  <c r="E10" i="1" s="1"/>
  <c r="D11" i="1"/>
  <c r="E11" i="1" s="1"/>
  <c r="D12" i="1"/>
  <c r="E12" i="1" s="1"/>
  <c r="D13" i="1"/>
  <c r="E13" i="1" s="1"/>
  <c r="AB13" i="1" s="1"/>
  <c r="D14" i="1"/>
  <c r="E14" i="1" s="1"/>
  <c r="D15" i="1"/>
  <c r="E15" i="1" s="1"/>
  <c r="D16" i="1"/>
  <c r="E16" i="1" s="1"/>
  <c r="D17" i="1"/>
  <c r="D18" i="1"/>
  <c r="Q13" i="1" l="1"/>
  <c r="AC13" i="1"/>
  <c r="AD13" i="1"/>
  <c r="AF13" i="1"/>
  <c r="S13" i="1"/>
  <c r="AE13" i="1"/>
  <c r="T13" i="1"/>
  <c r="U13" i="1"/>
  <c r="AH13" i="1"/>
  <c r="L13" i="1"/>
  <c r="X13" i="1"/>
  <c r="AG13" i="1"/>
  <c r="V13" i="1"/>
  <c r="W13" i="1"/>
  <c r="M13" i="1"/>
  <c r="M19" i="1" s="1"/>
  <c r="M21" i="1" s="1"/>
  <c r="Y13" i="1"/>
  <c r="N13" i="1"/>
  <c r="N19" i="1" s="1"/>
  <c r="N21" i="1" s="1"/>
  <c r="Z13" i="1"/>
  <c r="O13" i="1"/>
  <c r="AA13" i="1"/>
  <c r="P13" i="1"/>
  <c r="P10" i="1"/>
  <c r="P8" i="1"/>
  <c r="Q7" i="1"/>
  <c r="P7" i="1"/>
  <c r="O6" i="1"/>
  <c r="O5" i="1"/>
  <c r="BI19" i="1"/>
  <c r="BI21" i="1" s="1"/>
  <c r="BH19" i="1"/>
  <c r="BH21" i="1" s="1"/>
  <c r="BG19" i="1"/>
  <c r="BG21" i="1" s="1"/>
  <c r="BF19" i="1"/>
  <c r="BF21" i="1" s="1"/>
  <c r="BE19" i="1"/>
  <c r="BE21" i="1" s="1"/>
  <c r="BD19" i="1"/>
  <c r="BD21" i="1" s="1"/>
  <c r="BC19" i="1"/>
  <c r="BC21" i="1" s="1"/>
  <c r="J19" i="1"/>
  <c r="J21" i="1" s="1"/>
  <c r="I19" i="1"/>
  <c r="I21" i="1" s="1"/>
  <c r="G19" i="1"/>
  <c r="K19" i="1"/>
  <c r="K21" i="1" s="1"/>
  <c r="Q10" i="1" l="1"/>
  <c r="R10" i="1" s="1"/>
  <c r="Q8" i="1"/>
  <c r="R8" i="1" s="1"/>
  <c r="R7" i="1"/>
  <c r="R6" i="1"/>
  <c r="P6" i="1"/>
  <c r="Q6" i="1"/>
  <c r="L19" i="1"/>
  <c r="L21" i="1" s="1"/>
  <c r="P5" i="1"/>
  <c r="O19" i="1"/>
  <c r="O21" i="1" s="1"/>
  <c r="S10" i="1" l="1"/>
  <c r="T10" i="1" s="1"/>
  <c r="S8" i="1"/>
  <c r="S7" i="1"/>
  <c r="T6" i="1"/>
  <c r="S6" i="1"/>
  <c r="Q5" i="1"/>
  <c r="P19" i="1"/>
  <c r="P21" i="1" s="1"/>
  <c r="T8" i="1" l="1"/>
  <c r="U8" i="1" s="1"/>
  <c r="T7" i="1"/>
  <c r="U6" i="1"/>
  <c r="V6" i="1"/>
  <c r="Q19" i="1"/>
  <c r="Q21" i="1" s="1"/>
  <c r="R5" i="1"/>
  <c r="S5" i="1" s="1"/>
  <c r="T5" i="1" s="1"/>
  <c r="R19" i="1" l="1"/>
  <c r="R21" i="1" s="1"/>
  <c r="V8" i="1"/>
  <c r="W8" i="1" s="1"/>
  <c r="U7" i="1"/>
  <c r="V7" i="1" s="1"/>
  <c r="W7" i="1" s="1"/>
  <c r="X7" i="1" s="1"/>
  <c r="Y7" i="1" s="1"/>
  <c r="W6" i="1"/>
  <c r="U5" i="1"/>
  <c r="V5" i="1" s="1"/>
  <c r="W5" i="1" s="1"/>
  <c r="X5" i="1" s="1"/>
  <c r="Y5" i="1" s="1"/>
  <c r="Z5" i="1" s="1"/>
  <c r="S19" i="1"/>
  <c r="S21" i="1" s="1"/>
  <c r="AA5" i="1" l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X8" i="1"/>
  <c r="Y8" i="1" s="1"/>
  <c r="Z8" i="1" s="1"/>
  <c r="AA8" i="1" s="1"/>
  <c r="AB8" i="1" s="1"/>
  <c r="AC8" i="1" s="1"/>
  <c r="AD8" i="1" s="1"/>
  <c r="AE8" i="1" s="1"/>
  <c r="AF8" i="1" s="1"/>
  <c r="Z7" i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X6" i="1"/>
  <c r="U19" i="1"/>
  <c r="U21" i="1" s="1"/>
  <c r="T19" i="1"/>
  <c r="T21" i="1" s="1"/>
  <c r="Y6" i="1" l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V19" i="1"/>
  <c r="V21" i="1" s="1"/>
  <c r="W19" i="1" l="1"/>
  <c r="W21" i="1" s="1"/>
  <c r="X19" i="1" l="1"/>
  <c r="X21" i="1" s="1"/>
  <c r="Y19" i="1" l="1"/>
  <c r="Y21" i="1" s="1"/>
  <c r="AA19" i="1" l="1"/>
  <c r="AA21" i="1" s="1"/>
  <c r="Z19" i="1"/>
  <c r="Z21" i="1" s="1"/>
  <c r="AB19" i="1" l="1"/>
  <c r="AB21" i="1" s="1"/>
  <c r="AD19" i="1" l="1"/>
  <c r="AD21" i="1" s="1"/>
  <c r="AC19" i="1"/>
  <c r="AC21" i="1" s="1"/>
  <c r="AE19" i="1" l="1"/>
  <c r="AE21" i="1" s="1"/>
  <c r="AF19" i="1" l="1"/>
  <c r="AF21" i="1" s="1"/>
  <c r="AG19" i="1" l="1"/>
  <c r="AG21" i="1" s="1"/>
  <c r="AH19" i="1" l="1"/>
  <c r="AH21" i="1" s="1"/>
  <c r="AI19" i="1" l="1"/>
  <c r="AI21" i="1" s="1"/>
  <c r="AJ19" i="1" l="1"/>
  <c r="AJ21" i="1" s="1"/>
  <c r="AK19" i="1" l="1"/>
  <c r="AK21" i="1" s="1"/>
  <c r="AL19" i="1" l="1"/>
  <c r="AL21" i="1" s="1"/>
  <c r="AM19" i="1" l="1"/>
  <c r="AM21" i="1" s="1"/>
  <c r="AN19" i="1" l="1"/>
  <c r="AN21" i="1" s="1"/>
  <c r="AO19" i="1" l="1"/>
  <c r="AO21" i="1" s="1"/>
  <c r="AP19" i="1" l="1"/>
  <c r="AP21" i="1" s="1"/>
  <c r="AQ19" i="1" l="1"/>
  <c r="AQ21" i="1" s="1"/>
  <c r="AR19" i="1" l="1"/>
  <c r="AR21" i="1" s="1"/>
  <c r="AS19" i="1" l="1"/>
  <c r="AS21" i="1" s="1"/>
  <c r="AT19" i="1" l="1"/>
  <c r="AT21" i="1" s="1"/>
  <c r="AU19" i="1" l="1"/>
  <c r="AU21" i="1" s="1"/>
  <c r="AV19" i="1" l="1"/>
  <c r="AV21" i="1" s="1"/>
  <c r="AW19" i="1" l="1"/>
  <c r="AW21" i="1" s="1"/>
  <c r="AX19" i="1" l="1"/>
  <c r="AX21" i="1" s="1"/>
  <c r="AY19" i="1" l="1"/>
  <c r="AY21" i="1" s="1"/>
  <c r="AZ19" i="1" l="1"/>
  <c r="AZ21" i="1" s="1"/>
  <c r="BA19" i="1"/>
  <c r="BA21" i="1" s="1"/>
  <c r="BB19" i="1" l="1"/>
  <c r="BB21" i="1" s="1"/>
  <c r="H19" i="1"/>
  <c r="H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Morte</author>
  </authors>
  <commentList>
    <comment ref="A4" authorId="0" shapeId="0" xr:uid="{DD63F801-21F1-4538-A24F-4E5AA1596D27}">
      <text>
        <r>
          <rPr>
            <b/>
            <sz val="9"/>
            <color indexed="81"/>
            <rFont val="Tahoma"/>
            <family val="2"/>
          </rPr>
          <t>Kevin Morte:</t>
        </r>
        <r>
          <rPr>
            <sz val="9"/>
            <color indexed="81"/>
            <rFont val="Tahoma"/>
            <family val="2"/>
          </rPr>
          <t xml:space="preserve">
Determina el termini i, en bona part, la urgència/prioritat
</t>
        </r>
      </text>
    </comment>
  </commentList>
</comments>
</file>

<file path=xl/sharedStrings.xml><?xml version="1.0" encoding="utf-8"?>
<sst xmlns="http://schemas.openxmlformats.org/spreadsheetml/2006/main" count="86" uniqueCount="44">
  <si>
    <t>Setmana</t>
  </si>
  <si>
    <t>Anabel</t>
  </si>
  <si>
    <t>Linda</t>
  </si>
  <si>
    <t>Gregory</t>
  </si>
  <si>
    <t>Llorenç</t>
  </si>
  <si>
    <t>A</t>
  </si>
  <si>
    <t>L</t>
  </si>
  <si>
    <t>G</t>
  </si>
  <si>
    <t>Kolectiva</t>
  </si>
  <si>
    <t>Autopractik</t>
  </si>
  <si>
    <t>Rmotion</t>
  </si>
  <si>
    <t>Gespromo</t>
  </si>
  <si>
    <t>Rapid i Segur</t>
  </si>
  <si>
    <t>Das Formació</t>
  </si>
  <si>
    <t>Deyse</t>
  </si>
  <si>
    <t>Unilever</t>
  </si>
  <si>
    <t>Easy Daily</t>
  </si>
  <si>
    <t>Cenema</t>
  </si>
  <si>
    <t>Uniformes Colegio</t>
  </si>
  <si>
    <t>Cortinas Juan</t>
  </si>
  <si>
    <t>E Football</t>
  </si>
  <si>
    <t>CargoFlores</t>
  </si>
  <si>
    <t>Feb</t>
  </si>
  <si>
    <t>Mar</t>
  </si>
  <si>
    <t>Abr</t>
  </si>
  <si>
    <t>Mar/Abr</t>
  </si>
  <si>
    <t>Mai</t>
  </si>
  <si>
    <t>Jun</t>
  </si>
  <si>
    <t>Jul</t>
  </si>
  <si>
    <t>Ago</t>
  </si>
  <si>
    <t>Set</t>
  </si>
  <si>
    <t>Set/Oct</t>
  </si>
  <si>
    <t>Oct</t>
  </si>
  <si>
    <t>Nov</t>
  </si>
  <si>
    <t>Dec</t>
  </si>
  <si>
    <t>Horas</t>
  </si>
  <si>
    <t>Tasa ocupació</t>
  </si>
  <si>
    <t>Hores setmana</t>
  </si>
  <si>
    <t>Semanas</t>
  </si>
  <si>
    <t>Gen</t>
  </si>
  <si>
    <t>Hores projecte</t>
  </si>
  <si>
    <t>Planificades</t>
  </si>
  <si>
    <t>H. Pendents</t>
  </si>
  <si>
    <t>Semana 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</si>
</sst>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Fill="1" applyBorder="1"/>
    <xf numFmtId="2" fontId="0" fillId="0" borderId="0" xfId="0" applyNumberFormat="1"/>
    <xf numFmtId="0" fontId="2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I21"/>
  <sheetViews>
    <sheetView tabSelected="1" workbookViewId="0">
      <selection activeCell="K5" sqref="K5"/>
    </sheetView>
  </sheetViews>
  <sheetFormatPr baseColWidth="10" defaultColWidth="8.88671875" defaultRowHeight="14.4" x14ac:dyDescent="0.3"/>
  <cols>
    <col min="2" max="2" width="9.5546875" hidden="1" customWidth="1"/>
    <col min="3" max="3" width="13.21875" bestFit="1" customWidth="1"/>
    <col min="4" max="4" width="11.33203125" bestFit="1" customWidth="1"/>
    <col min="6" max="6" width="16.21875" bestFit="1" customWidth="1"/>
    <col min="7" max="8" width="11.33203125" bestFit="1" customWidth="1"/>
    <col min="12" max="12" width="11.33203125" bestFit="1" customWidth="1"/>
    <col min="13" max="14" width="19.33203125" bestFit="1" customWidth="1"/>
  </cols>
  <sheetData>
    <row r="1" spans="1:61" x14ac:dyDescent="0.3">
      <c r="G1" t="s">
        <v>22</v>
      </c>
      <c r="H1" t="s">
        <v>22</v>
      </c>
      <c r="I1" t="s">
        <v>22</v>
      </c>
      <c r="J1" t="s">
        <v>23</v>
      </c>
      <c r="K1" t="s">
        <v>23</v>
      </c>
      <c r="L1" t="s">
        <v>23</v>
      </c>
      <c r="M1" t="s">
        <v>23</v>
      </c>
      <c r="N1" t="s">
        <v>25</v>
      </c>
      <c r="O1" t="s">
        <v>24</v>
      </c>
      <c r="P1" t="s">
        <v>24</v>
      </c>
      <c r="Q1" t="s">
        <v>24</v>
      </c>
      <c r="R1" t="s">
        <v>24</v>
      </c>
      <c r="S1" t="s">
        <v>26</v>
      </c>
      <c r="T1" t="s">
        <v>26</v>
      </c>
      <c r="U1" t="s">
        <v>26</v>
      </c>
      <c r="V1" t="s">
        <v>26</v>
      </c>
      <c r="W1" t="s">
        <v>27</v>
      </c>
      <c r="X1" t="s">
        <v>27</v>
      </c>
      <c r="Y1" t="s">
        <v>27</v>
      </c>
      <c r="Z1" t="s">
        <v>27</v>
      </c>
      <c r="AA1" t="s">
        <v>28</v>
      </c>
      <c r="AB1" t="s">
        <v>28</v>
      </c>
      <c r="AC1" t="s">
        <v>28</v>
      </c>
      <c r="AD1" t="s">
        <v>28</v>
      </c>
      <c r="AE1" t="s">
        <v>28</v>
      </c>
      <c r="AF1" t="s">
        <v>29</v>
      </c>
      <c r="AG1" t="s">
        <v>29</v>
      </c>
      <c r="AH1" t="s">
        <v>29</v>
      </c>
      <c r="AI1" t="s">
        <v>29</v>
      </c>
      <c r="AJ1" t="s">
        <v>30</v>
      </c>
      <c r="AK1" t="s">
        <v>30</v>
      </c>
      <c r="AL1" t="s">
        <v>30</v>
      </c>
      <c r="AM1" t="s">
        <v>30</v>
      </c>
      <c r="AN1" t="s">
        <v>31</v>
      </c>
      <c r="AO1" t="s">
        <v>32</v>
      </c>
      <c r="AP1" t="s">
        <v>32</v>
      </c>
      <c r="AQ1" t="s">
        <v>32</v>
      </c>
      <c r="AR1" t="s">
        <v>32</v>
      </c>
      <c r="AS1" t="s">
        <v>33</v>
      </c>
      <c r="AT1" t="s">
        <v>33</v>
      </c>
      <c r="AU1" t="s">
        <v>33</v>
      </c>
      <c r="AV1" t="s">
        <v>33</v>
      </c>
      <c r="AW1" t="s">
        <v>34</v>
      </c>
      <c r="AX1" t="s">
        <v>34</v>
      </c>
      <c r="AY1" t="s">
        <v>34</v>
      </c>
      <c r="AZ1" t="s">
        <v>34</v>
      </c>
      <c r="BA1" t="s">
        <v>34</v>
      </c>
      <c r="BB1" t="s">
        <v>39</v>
      </c>
      <c r="BC1" t="s">
        <v>39</v>
      </c>
      <c r="BD1" t="s">
        <v>39</v>
      </c>
      <c r="BE1" t="s">
        <v>39</v>
      </c>
      <c r="BF1" t="s">
        <v>22</v>
      </c>
      <c r="BG1" t="s">
        <v>22</v>
      </c>
      <c r="BH1" t="s">
        <v>22</v>
      </c>
      <c r="BI1" t="s">
        <v>22</v>
      </c>
    </row>
    <row r="2" spans="1:61" x14ac:dyDescent="0.3">
      <c r="F2" t="s">
        <v>35</v>
      </c>
      <c r="G2">
        <v>185</v>
      </c>
      <c r="H2">
        <v>185</v>
      </c>
      <c r="I2">
        <v>185</v>
      </c>
      <c r="J2">
        <v>185</v>
      </c>
      <c r="K2">
        <v>185</v>
      </c>
      <c r="L2">
        <v>185</v>
      </c>
      <c r="M2">
        <v>185</v>
      </c>
      <c r="N2">
        <v>185</v>
      </c>
      <c r="O2">
        <v>185</v>
      </c>
      <c r="P2">
        <v>185</v>
      </c>
      <c r="Q2">
        <v>185</v>
      </c>
      <c r="R2">
        <v>185</v>
      </c>
      <c r="S2">
        <v>185</v>
      </c>
      <c r="T2">
        <v>185</v>
      </c>
      <c r="U2">
        <v>185</v>
      </c>
      <c r="V2">
        <v>185</v>
      </c>
      <c r="W2">
        <v>185</v>
      </c>
      <c r="X2">
        <v>185</v>
      </c>
      <c r="Y2">
        <v>185</v>
      </c>
      <c r="Z2">
        <v>185</v>
      </c>
      <c r="AA2">
        <v>185</v>
      </c>
      <c r="AB2">
        <v>185</v>
      </c>
      <c r="AC2">
        <v>185</v>
      </c>
      <c r="AD2">
        <v>185</v>
      </c>
      <c r="AE2">
        <v>185</v>
      </c>
      <c r="AF2">
        <v>185</v>
      </c>
      <c r="AG2">
        <v>185</v>
      </c>
      <c r="AH2">
        <v>185</v>
      </c>
      <c r="AI2">
        <v>185</v>
      </c>
      <c r="AJ2">
        <v>185</v>
      </c>
      <c r="AK2">
        <v>185</v>
      </c>
      <c r="AL2">
        <v>185</v>
      </c>
      <c r="AM2">
        <v>185</v>
      </c>
      <c r="AN2">
        <v>185</v>
      </c>
      <c r="AO2">
        <v>185</v>
      </c>
      <c r="AP2">
        <v>185</v>
      </c>
      <c r="AQ2">
        <v>185</v>
      </c>
      <c r="AR2">
        <v>185</v>
      </c>
      <c r="AS2">
        <v>185</v>
      </c>
      <c r="AT2">
        <v>185</v>
      </c>
      <c r="AU2">
        <v>185</v>
      </c>
      <c r="AV2">
        <v>185</v>
      </c>
      <c r="AW2">
        <v>185</v>
      </c>
      <c r="AX2">
        <v>185</v>
      </c>
      <c r="AY2">
        <v>185</v>
      </c>
      <c r="AZ2">
        <v>185</v>
      </c>
      <c r="BA2">
        <v>185</v>
      </c>
      <c r="BB2">
        <v>185</v>
      </c>
      <c r="BC2">
        <v>185</v>
      </c>
      <c r="BD2">
        <v>185</v>
      </c>
      <c r="BE2">
        <v>185</v>
      </c>
      <c r="BF2">
        <v>185</v>
      </c>
      <c r="BG2">
        <v>185</v>
      </c>
      <c r="BH2">
        <v>185</v>
      </c>
      <c r="BI2">
        <v>185</v>
      </c>
    </row>
    <row r="3" spans="1:61" x14ac:dyDescent="0.3">
      <c r="F3" s="2" t="s">
        <v>0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>
        <v>13</v>
      </c>
      <c r="N3">
        <v>14</v>
      </c>
      <c r="O3">
        <v>15</v>
      </c>
      <c r="P3">
        <v>16</v>
      </c>
      <c r="Q3">
        <v>17</v>
      </c>
      <c r="R3">
        <v>18</v>
      </c>
      <c r="S3">
        <v>19</v>
      </c>
      <c r="T3">
        <v>20</v>
      </c>
      <c r="U3">
        <v>21</v>
      </c>
      <c r="V3">
        <v>22</v>
      </c>
      <c r="W3">
        <v>23</v>
      </c>
      <c r="X3">
        <v>24</v>
      </c>
      <c r="Y3">
        <v>25</v>
      </c>
      <c r="Z3">
        <v>26</v>
      </c>
      <c r="AA3">
        <v>27</v>
      </c>
      <c r="AB3">
        <v>28</v>
      </c>
      <c r="AC3">
        <v>29</v>
      </c>
      <c r="AD3">
        <v>30</v>
      </c>
      <c r="AE3">
        <v>31</v>
      </c>
      <c r="AF3">
        <v>32</v>
      </c>
      <c r="AG3">
        <v>33</v>
      </c>
      <c r="AH3">
        <v>34</v>
      </c>
      <c r="AI3">
        <v>35</v>
      </c>
      <c r="AJ3">
        <v>36</v>
      </c>
      <c r="AK3">
        <v>37</v>
      </c>
      <c r="AL3">
        <v>38</v>
      </c>
      <c r="AM3">
        <v>39</v>
      </c>
      <c r="AN3">
        <v>40</v>
      </c>
      <c r="AO3">
        <v>41</v>
      </c>
      <c r="AP3">
        <v>42</v>
      </c>
      <c r="AQ3">
        <v>43</v>
      </c>
      <c r="AR3">
        <v>44</v>
      </c>
      <c r="AS3">
        <v>45</v>
      </c>
      <c r="AT3">
        <v>46</v>
      </c>
      <c r="AU3">
        <v>47</v>
      </c>
      <c r="AV3">
        <v>48</v>
      </c>
      <c r="AW3">
        <v>49</v>
      </c>
      <c r="AX3">
        <v>50</v>
      </c>
      <c r="AY3">
        <v>51</v>
      </c>
      <c r="AZ3">
        <v>52</v>
      </c>
      <c r="BA3">
        <v>53</v>
      </c>
      <c r="BB3">
        <v>1</v>
      </c>
      <c r="BC3">
        <v>2</v>
      </c>
      <c r="BD3">
        <v>3</v>
      </c>
      <c r="BE3">
        <v>4</v>
      </c>
      <c r="BF3">
        <v>5</v>
      </c>
      <c r="BG3">
        <v>6</v>
      </c>
      <c r="BH3">
        <v>7</v>
      </c>
      <c r="BI3">
        <v>8</v>
      </c>
    </row>
    <row r="4" spans="1:61" x14ac:dyDescent="0.3">
      <c r="A4" s="5" t="s">
        <v>38</v>
      </c>
      <c r="B4" s="5" t="s">
        <v>43</v>
      </c>
      <c r="C4" s="5" t="s">
        <v>40</v>
      </c>
      <c r="D4" s="5" t="s">
        <v>41</v>
      </c>
      <c r="E4" s="5" t="s">
        <v>42</v>
      </c>
    </row>
    <row r="5" spans="1:61" x14ac:dyDescent="0.3">
      <c r="A5">
        <v>46</v>
      </c>
      <c r="B5">
        <v>1</v>
      </c>
      <c r="C5">
        <v>690</v>
      </c>
      <c r="D5">
        <f>SUM(I5:J5)</f>
        <v>58</v>
      </c>
      <c r="E5">
        <f>C5-D5</f>
        <v>632</v>
      </c>
      <c r="F5" t="s">
        <v>14</v>
      </c>
      <c r="G5" t="e">
        <f ca="1">SumarColor(I5,I5:L5)</f>
        <v>#NAME?</v>
      </c>
      <c r="I5" s="6">
        <v>29</v>
      </c>
      <c r="J5" s="6">
        <v>29</v>
      </c>
      <c r="K5" s="7">
        <f>($C5-SUM($I5:J5))/($A5-COUNTA($I5:J5))</f>
        <v>14.363636363636363</v>
      </c>
      <c r="L5" s="7">
        <f>($C5-SUM($I5:K5))/($A5-COUNTA($I5:K5))</f>
        <v>14.363636363636363</v>
      </c>
      <c r="M5" s="7">
        <f>($C5-SUM($I5:L5))/($A5-COUNTA($I5:L5))</f>
        <v>14.363636363636363</v>
      </c>
      <c r="N5" s="7">
        <f>($C5-SUM($I5:M5))/($A5-COUNTA($I5:M5))</f>
        <v>14.363636363636363</v>
      </c>
      <c r="O5" s="7">
        <f>($C5-SUM($I5:N5))/($A5-COUNTA($I5:N5))</f>
        <v>14.363636363636363</v>
      </c>
      <c r="P5" s="7">
        <f>($C5-SUM($I5:O5))/($A5-COUNTA($I5:O5))</f>
        <v>14.363636363636365</v>
      </c>
      <c r="Q5" s="7">
        <f>($C5-SUM($I5:P5))/($A5-COUNTA($I5:P5))</f>
        <v>14.363636363636362</v>
      </c>
      <c r="R5" s="7">
        <f>($C5-SUM($I5:Q5))/($A5-COUNTA($I5:Q5))</f>
        <v>14.363636363636365</v>
      </c>
      <c r="S5" s="7">
        <f>($C5-SUM($I5:R5))/($A5-COUNTA($I5:R5))</f>
        <v>14.363636363636362</v>
      </c>
      <c r="T5" s="7">
        <f>($C5-SUM($I5:S5))/($A5-COUNTA($I5:S5))</f>
        <v>14.363636363636363</v>
      </c>
      <c r="U5" s="7">
        <f>($C5-SUM($I5:T5))/($A5-COUNTA($I5:T5))</f>
        <v>14.363636363636362</v>
      </c>
      <c r="V5" s="7">
        <f>($C5-SUM($I5:U5))/($A5-COUNTA($I5:U5))</f>
        <v>14.363636363636362</v>
      </c>
      <c r="W5" s="7">
        <f>($C5-SUM($I5:V5))/($A5-COUNTA($I5:V5))</f>
        <v>14.363636363636362</v>
      </c>
      <c r="X5" s="7">
        <f>($C5-SUM($I5:W5))/($A5-COUNTA($I5:W5))</f>
        <v>14.363636363636362</v>
      </c>
      <c r="Y5" s="7">
        <f>($C5-SUM($I5:X5))/($A5-COUNTA($I5:X5))</f>
        <v>14.363636363636362</v>
      </c>
      <c r="Z5" s="7">
        <f>($C5-SUM($I5:Y5))/($A5-COUNTA($I5:Y5))</f>
        <v>14.36363636363636</v>
      </c>
      <c r="AA5" s="7">
        <f>($C5-SUM($I5:Z5))/($A5-COUNTA($I5:Z5))</f>
        <v>14.36363636363636</v>
      </c>
      <c r="AB5" s="7">
        <f>($C5-SUM($I5:AA5))/($A5-COUNTA($I5:AA5))</f>
        <v>14.36363636363636</v>
      </c>
      <c r="AC5" s="7">
        <f>($C5-SUM($I5:AB5))/($A5-COUNTA($I5:AB5))</f>
        <v>14.363636363636358</v>
      </c>
      <c r="AD5" s="7">
        <f>($C5-SUM($I5:AC5))/($A5-COUNTA($I5:AC5))</f>
        <v>14.363636363636358</v>
      </c>
      <c r="AE5" s="7">
        <f>($C5-SUM($I5:AD5))/($A5-COUNTA($I5:AD5))</f>
        <v>14.363636363636358</v>
      </c>
      <c r="AF5" s="7">
        <f>($C5-SUM($I5:AE5))/($A5-COUNTA($I5:AE5))</f>
        <v>14.363636363636356</v>
      </c>
      <c r="AG5" s="7">
        <f>($C5-SUM($I5:AF5))/($A5-COUNTA($I5:AF5))</f>
        <v>14.363636363636356</v>
      </c>
      <c r="AH5" s="7">
        <f>($C5-SUM($I5:AG5))/($A5-COUNTA($I5:AG5))</f>
        <v>14.363636363636354</v>
      </c>
      <c r="AI5" s="7">
        <f>($C5-SUM($I5:AH5))/($A5-COUNTA($I5:AH5))</f>
        <v>14.363636363636354</v>
      </c>
      <c r="AJ5" s="7">
        <f>($C5-SUM($I5:AI5))/($A5-COUNTA($I5:AI5))</f>
        <v>14.363636363636353</v>
      </c>
      <c r="AK5" s="7">
        <f>($C5-SUM($I5:AJ5))/($A5-COUNTA($I5:AJ5))</f>
        <v>14.363636363636353</v>
      </c>
      <c r="AL5" s="7">
        <f>($C5-SUM($I5:AK5))/($A5-COUNTA($I5:AK5))</f>
        <v>14.363636363636351</v>
      </c>
      <c r="AM5" s="7">
        <f>($C5-SUM($I5:AL5))/($A5-COUNTA($I5:AL5))</f>
        <v>14.363636363636349</v>
      </c>
      <c r="AN5" s="7">
        <f>($C5-SUM($I5:AM5))/($A5-COUNTA($I5:AM5))</f>
        <v>14.363636363636347</v>
      </c>
      <c r="AO5" s="7">
        <f>($C5-SUM($I5:AN5))/($A5-COUNTA($I5:AN5))</f>
        <v>14.363636363636346</v>
      </c>
      <c r="AP5" s="7">
        <f>($C5-SUM($I5:AO5))/($A5-COUNTA($I5:AO5))</f>
        <v>14.363636363636347</v>
      </c>
      <c r="AQ5" s="7">
        <f>($C5-SUM($I5:AP5))/($A5-COUNTA($I5:AP5))</f>
        <v>14.363636363636346</v>
      </c>
      <c r="AR5" s="7">
        <f>($C5-SUM($I5:AQ5))/($A5-COUNTA($I5:AQ5))</f>
        <v>14.363636363636344</v>
      </c>
      <c r="AS5" s="7">
        <f>($C5-SUM($I5:AR5))/($A5-COUNTA($I5:AR5))</f>
        <v>14.36363636363634</v>
      </c>
      <c r="AT5" s="7">
        <f>($C5-SUM($I5:AS5))/($A5-COUNTA($I5:AS5))</f>
        <v>14.363636363636337</v>
      </c>
      <c r="AU5" s="7">
        <f>($C5-SUM($I5:AT5))/($A5-COUNTA($I5:AT5))</f>
        <v>14.363636363636331</v>
      </c>
      <c r="AV5" s="7">
        <f>($C5-SUM($I5:AU5))/($A5-COUNTA($I5:AU5))</f>
        <v>14.363636363636326</v>
      </c>
      <c r="AW5" s="7">
        <f>($C5-SUM($I5:AV5))/($A5-COUNTA($I5:AV5))</f>
        <v>14.363636363636317</v>
      </c>
      <c r="AX5" s="7">
        <f>($C5-SUM($I5:AW5))/($A5-COUNTA($I5:AW5))</f>
        <v>14.363636363636306</v>
      </c>
      <c r="AY5" s="7">
        <f>($C5-SUM($I5:AX5))/($A5-COUNTA($I5:AX5))</f>
        <v>14.363636363636317</v>
      </c>
      <c r="AZ5" s="7">
        <f>($C5-SUM($I5:AY5))/($A5-COUNTA($I5:AY5))</f>
        <v>14.363636363636337</v>
      </c>
      <c r="BA5" s="7">
        <f>($C5-SUM($I5:AZ5))/($A5-COUNTA($I5:AZ5))</f>
        <v>14.363636363636317</v>
      </c>
      <c r="BB5" s="7">
        <f>($C5-SUM($I5:BA5))/($A5-COUNTA($I5:BA5))</f>
        <v>14.36363636363626</v>
      </c>
    </row>
    <row r="6" spans="1:61" x14ac:dyDescent="0.3">
      <c r="A6">
        <v>46</v>
      </c>
      <c r="B6">
        <v>1</v>
      </c>
      <c r="C6">
        <v>460</v>
      </c>
      <c r="D6">
        <f>SUM(I6:K6)</f>
        <v>26.090909090909093</v>
      </c>
      <c r="E6">
        <f t="shared" ref="E6:E18" si="0">C6-D6</f>
        <v>433.90909090909088</v>
      </c>
      <c r="F6" t="s">
        <v>13</v>
      </c>
      <c r="I6" s="6">
        <v>8</v>
      </c>
      <c r="J6" s="6">
        <v>8</v>
      </c>
      <c r="K6" s="7">
        <f>($C6-SUM($I6:J6))/($A6-COUNTA($I6:J6))</f>
        <v>10.090909090909092</v>
      </c>
      <c r="L6" s="7">
        <f>($C6-SUM($I6:K6))/($A6-COUNTA($I6:K6))</f>
        <v>10.09090909090909</v>
      </c>
      <c r="M6" s="7">
        <f>($C6-SUM($I6:L6))/($A6-COUNTA($I6:L6))</f>
        <v>10.09090909090909</v>
      </c>
      <c r="N6" s="7">
        <f>($C6-SUM($I6:M6))/($A6-COUNTA($I6:M6))</f>
        <v>10.090909090909092</v>
      </c>
      <c r="O6" s="7">
        <f>($C6-SUM($I6:N6))/($A6-COUNTA($I6:N6))</f>
        <v>10.09090909090909</v>
      </c>
      <c r="P6" s="7">
        <f>($C6-SUM($I6:O6))/($A6-COUNTA($I6:O6))</f>
        <v>10.09090909090909</v>
      </c>
      <c r="Q6" s="7">
        <f>($C6-SUM($I6:P6))/($A6-COUNTA($I6:P6))</f>
        <v>10.09090909090909</v>
      </c>
      <c r="R6" s="7">
        <f>($C6-SUM($I6:Q6))/($A6-COUNTA($I6:Q6))</f>
        <v>10.090909090909092</v>
      </c>
      <c r="S6" s="7">
        <f>($C6-SUM($I6:R6))/($A6-COUNTA($I6:R6))</f>
        <v>10.09090909090909</v>
      </c>
      <c r="T6" s="7">
        <f>($C6-SUM($I6:S6))/($A6-COUNTA($I6:S6))</f>
        <v>10.09090909090909</v>
      </c>
      <c r="U6" s="7">
        <f>($C6-SUM($I6:T6))/($A6-COUNTA($I6:T6))</f>
        <v>10.09090909090909</v>
      </c>
      <c r="V6" s="7">
        <f>($C6-SUM($I6:U6))/($A6-COUNTA($I6:U6))</f>
        <v>10.090909090909092</v>
      </c>
      <c r="W6" s="7">
        <f>($C6-SUM($I6:V6))/($A6-COUNTA($I6:V6))</f>
        <v>10.09090909090909</v>
      </c>
      <c r="X6" s="7">
        <f>($C6-SUM($I6:W6))/($A6-COUNTA($I6:W6))</f>
        <v>10.090909090909088</v>
      </c>
      <c r="Y6" s="7">
        <f>($C6-SUM($I6:X6))/($A6-COUNTA($I6:X6))</f>
        <v>10.09090909090909</v>
      </c>
      <c r="Z6" s="7">
        <f>($C6-SUM($I6:Y6))/($A6-COUNTA($I6:Y6))</f>
        <v>10.09090909090909</v>
      </c>
      <c r="AA6" s="7">
        <f>($C6-SUM($I6:Z6))/($A6-COUNTA($I6:Z6))</f>
        <v>10.09090909090909</v>
      </c>
      <c r="AB6" s="7">
        <f>($C6-SUM($I6:AA6))/($A6-COUNTA($I6:AA6))</f>
        <v>10.090909090909088</v>
      </c>
      <c r="AC6" s="7">
        <f>($C6-SUM($I6:AB6))/($A6-COUNTA($I6:AB6))</f>
        <v>10.09090909090909</v>
      </c>
      <c r="AD6" s="7">
        <f>($C6-SUM($I6:AC6))/($A6-COUNTA($I6:AC6))</f>
        <v>10.090909090909088</v>
      </c>
      <c r="AE6" s="7">
        <f>($C6-SUM($I6:AD6))/($A6-COUNTA($I6:AD6))</f>
        <v>10.090909090909088</v>
      </c>
      <c r="AF6" s="7">
        <f>($C6-SUM($I6:AE6))/($A6-COUNTA($I6:AE6))</f>
        <v>10.090909090909088</v>
      </c>
      <c r="AG6" s="7">
        <f>($C6-SUM($I6:AF6))/($A6-COUNTA($I6:AF6))</f>
        <v>10.090909090909088</v>
      </c>
      <c r="AH6" s="7">
        <f>($C6-SUM($I6:AG6))/($A6-COUNTA($I6:AG6))</f>
        <v>10.090909090909088</v>
      </c>
      <c r="AI6" s="7">
        <f>($C6-SUM($I6:AH6))/($A6-COUNTA($I6:AH6))</f>
        <v>10.090909090909088</v>
      </c>
      <c r="AJ6" s="7">
        <f>($C6-SUM($I6:AI6))/($A6-COUNTA($I6:AI6))</f>
        <v>10.090909090909088</v>
      </c>
      <c r="AK6" s="7">
        <f>($C6-SUM($I6:AJ6))/($A6-COUNTA($I6:AJ6))</f>
        <v>10.09090909090909</v>
      </c>
      <c r="AL6" s="7">
        <f>($C6-SUM($I6:AK6))/($A6-COUNTA($I6:AK6))</f>
        <v>10.090909090909092</v>
      </c>
      <c r="AM6" s="7">
        <f>($C6-SUM($I6:AL6))/($A6-COUNTA($I6:AL6))</f>
        <v>10.090909090909093</v>
      </c>
      <c r="AN6" s="7">
        <f>($C6-SUM($I6:AM6))/($A6-COUNTA($I6:AM6))</f>
        <v>10.090909090909092</v>
      </c>
      <c r="AO6" s="7">
        <f>($C6-SUM($I6:AN6))/($A6-COUNTA($I6:AN6))</f>
        <v>10.090909090909093</v>
      </c>
      <c r="AP6" s="7">
        <f>($C6-SUM($I6:AO6))/($A6-COUNTA($I6:AO6))</f>
        <v>10.090909090909095</v>
      </c>
      <c r="AQ6" s="7">
        <f>($C6-SUM($I6:AP6))/($A6-COUNTA($I6:AP6))</f>
        <v>10.090909090909093</v>
      </c>
      <c r="AR6" s="7">
        <f>($C6-SUM($I6:AQ6))/($A6-COUNTA($I6:AQ6))</f>
        <v>10.090909090909092</v>
      </c>
      <c r="AS6" s="7">
        <f>($C6-SUM($I6:AR6))/($A6-COUNTA($I6:AR6))</f>
        <v>10.090909090909093</v>
      </c>
      <c r="AT6" s="7">
        <f>($C6-SUM($I6:AS6))/($A6-COUNTA($I6:AS6))</f>
        <v>10.090909090909097</v>
      </c>
      <c r="AU6" s="7">
        <f>($C6-SUM($I6:AT6))/($A6-COUNTA($I6:AT6))</f>
        <v>10.090909090909093</v>
      </c>
      <c r="AV6" s="7">
        <f>($C6-SUM($I6:AU6))/($A6-COUNTA($I6:AU6))</f>
        <v>10.09090909090909</v>
      </c>
      <c r="AW6" s="7">
        <f>($C6-SUM($I6:AV6))/($A6-COUNTA($I6:AV6))</f>
        <v>10.090909090909093</v>
      </c>
      <c r="AX6" s="7">
        <f>($C6-SUM($I6:AW6))/($A6-COUNTA($I6:AW6))</f>
        <v>10.090909090909099</v>
      </c>
      <c r="AY6" s="7">
        <f>($C6-SUM($I6:AX6))/($A6-COUNTA($I6:AX6))</f>
        <v>10.090909090909093</v>
      </c>
      <c r="AZ6" s="7">
        <f>($C6-SUM($I6:AY6))/($A6-COUNTA($I6:AY6))</f>
        <v>10.090909090909085</v>
      </c>
      <c r="BA6" s="7">
        <f>($C6-SUM($I6:AZ6))/($A6-COUNTA($I6:AZ6))</f>
        <v>10.090909090909093</v>
      </c>
      <c r="BB6" s="7">
        <f>($C6-SUM($I6:BA6))/($A6-COUNTA($I6:BA6))</f>
        <v>10.090909090909122</v>
      </c>
    </row>
    <row r="7" spans="1:61" x14ac:dyDescent="0.3">
      <c r="A7">
        <v>46</v>
      </c>
      <c r="B7">
        <v>1</v>
      </c>
      <c r="C7">
        <v>460</v>
      </c>
      <c r="D7">
        <f t="shared" ref="D7:D18" si="1">SUM(I7:J7)</f>
        <v>34.5</v>
      </c>
      <c r="E7">
        <f t="shared" si="0"/>
        <v>425.5</v>
      </c>
      <c r="F7" t="s">
        <v>11</v>
      </c>
      <c r="I7" s="6">
        <v>17.5</v>
      </c>
      <c r="J7" s="6">
        <v>17</v>
      </c>
      <c r="K7" s="7">
        <f>($C7-SUM($I7:J7))/($A7-COUNTA($I7:J7))</f>
        <v>9.670454545454545</v>
      </c>
      <c r="L7" s="7">
        <f>($C7-SUM($I7:K7))/($A7-COUNTA($I7:K7))</f>
        <v>9.670454545454545</v>
      </c>
      <c r="M7" s="7">
        <f>($C7-SUM($I7:L7))/($A7-COUNTA($I7:L7))</f>
        <v>9.670454545454545</v>
      </c>
      <c r="N7" s="7">
        <f>($C7-SUM($I7:M7))/($A7-COUNTA($I7:M7))</f>
        <v>9.670454545454545</v>
      </c>
      <c r="O7" s="7">
        <f>($C7-SUM($I7:N7))/($A7-COUNTA($I7:N7))</f>
        <v>9.670454545454545</v>
      </c>
      <c r="P7" s="7">
        <f>($C7-SUM($I7:O7))/($A7-COUNTA($I7:O7))</f>
        <v>9.670454545454545</v>
      </c>
      <c r="Q7" s="7">
        <f>($C7-SUM($I7:P7))/($A7-COUNTA($I7:P7))</f>
        <v>9.6704545454545467</v>
      </c>
      <c r="R7" s="7">
        <f>($C7-SUM($I7:Q7))/($A7-COUNTA($I7:Q7))</f>
        <v>9.670454545454545</v>
      </c>
      <c r="S7" s="7">
        <f>($C7-SUM($I7:R7))/($A7-COUNTA($I7:R7))</f>
        <v>9.670454545454545</v>
      </c>
      <c r="T7" s="7">
        <f>($C7-SUM($I7:S7))/($A7-COUNTA($I7:S7))</f>
        <v>9.670454545454545</v>
      </c>
      <c r="U7" s="7">
        <f>($C7-SUM($I7:T7))/($A7-COUNTA($I7:T7))</f>
        <v>9.670454545454545</v>
      </c>
      <c r="V7" s="7">
        <f>($C7-SUM($I7:U7))/($A7-COUNTA($I7:U7))</f>
        <v>9.670454545454545</v>
      </c>
      <c r="W7" s="7">
        <f>($C7-SUM($I7:V7))/($A7-COUNTA($I7:V7))</f>
        <v>9.6704545454545467</v>
      </c>
      <c r="X7" s="7">
        <f>($C7-SUM($I7:W7))/($A7-COUNTA($I7:W7))</f>
        <v>9.6704545454545467</v>
      </c>
      <c r="Y7" s="7">
        <f>($C7-SUM($I7:X7))/($A7-COUNTA($I7:X7))</f>
        <v>9.670454545454545</v>
      </c>
      <c r="Z7" s="7">
        <f>($C7-SUM($I7:Y7))/($A7-COUNTA($I7:Y7))</f>
        <v>9.6704545454545467</v>
      </c>
      <c r="AA7" s="7">
        <f>($C7-SUM($I7:Z7))/($A7-COUNTA($I7:Z7))</f>
        <v>9.6704545454545467</v>
      </c>
      <c r="AB7" s="7">
        <f>($C7-SUM($I7:AA7))/($A7-COUNTA($I7:AA7))</f>
        <v>9.6704545454545467</v>
      </c>
      <c r="AC7" s="7">
        <f>($C7-SUM($I7:AB7))/($A7-COUNTA($I7:AB7))</f>
        <v>9.670454545454545</v>
      </c>
      <c r="AD7" s="7">
        <f>($C7-SUM($I7:AC7))/($A7-COUNTA($I7:AC7))</f>
        <v>9.6704545454545467</v>
      </c>
      <c r="AE7" s="7">
        <f>($C7-SUM($I7:AD7))/($A7-COUNTA($I7:AD7))</f>
        <v>9.6704545454545467</v>
      </c>
      <c r="AF7" s="7">
        <f>($C7-SUM($I7:AE7))/($A7-COUNTA($I7:AE7))</f>
        <v>9.6704545454545467</v>
      </c>
      <c r="AG7" s="7">
        <f>($C7-SUM($I7:AF7))/($A7-COUNTA($I7:AF7))</f>
        <v>9.670454545454545</v>
      </c>
      <c r="AH7" s="7">
        <f>($C7-SUM($I7:AG7))/($A7-COUNTA($I7:AG7))</f>
        <v>9.670454545454545</v>
      </c>
      <c r="AI7" s="7">
        <f>($C7-SUM($I7:AH7))/($A7-COUNTA($I7:AH7))</f>
        <v>9.6704545454545432</v>
      </c>
      <c r="AJ7" s="7">
        <f>($C7-SUM($I7:AI7))/($A7-COUNTA($I7:AI7))</f>
        <v>9.6704545454545432</v>
      </c>
      <c r="AK7" s="7">
        <f>($C7-SUM($I7:AJ7))/($A7-COUNTA($I7:AJ7))</f>
        <v>9.6704545454545414</v>
      </c>
      <c r="AL7" s="7">
        <f>($C7-SUM($I7:AK7))/($A7-COUNTA($I7:AK7))</f>
        <v>9.6704545454545414</v>
      </c>
      <c r="AM7" s="7">
        <f>($C7-SUM($I7:AL7))/($A7-COUNTA($I7:AL7))</f>
        <v>9.6704545454545396</v>
      </c>
      <c r="AN7" s="7">
        <f>($C7-SUM($I7:AM7))/($A7-COUNTA($I7:AM7))</f>
        <v>9.6704545454545379</v>
      </c>
      <c r="AO7" s="7">
        <f>($C7-SUM($I7:AN7))/($A7-COUNTA($I7:AN7))</f>
        <v>9.6704545454545361</v>
      </c>
      <c r="AP7" s="7">
        <f>($C7-SUM($I7:AO7))/($A7-COUNTA($I7:AO7))</f>
        <v>9.6704545454545343</v>
      </c>
      <c r="AQ7" s="7">
        <f>($C7-SUM($I7:AP7))/($A7-COUNTA($I7:AP7))</f>
        <v>9.6704545454545325</v>
      </c>
      <c r="AR7" s="7">
        <f>($C7-SUM($I7:AQ7))/($A7-COUNTA($I7:AQ7))</f>
        <v>9.6704545454545343</v>
      </c>
      <c r="AS7" s="7">
        <f>($C7-SUM($I7:AR7))/($A7-COUNTA($I7:AR7))</f>
        <v>9.6704545454545325</v>
      </c>
      <c r="AT7" s="7">
        <f>($C7-SUM($I7:AS7))/($A7-COUNTA($I7:AS7))</f>
        <v>9.670454545454529</v>
      </c>
      <c r="AU7" s="7">
        <f>($C7-SUM($I7:AT7))/($A7-COUNTA($I7:AT7))</f>
        <v>9.6704545454545325</v>
      </c>
      <c r="AV7" s="7">
        <f>($C7-SUM($I7:AU7))/($A7-COUNTA($I7:AU7))</f>
        <v>9.6704545454545361</v>
      </c>
      <c r="AW7" s="7">
        <f>($C7-SUM($I7:AV7))/($A7-COUNTA($I7:AV7))</f>
        <v>9.6704545454545325</v>
      </c>
      <c r="AX7" s="7">
        <f>($C7-SUM($I7:AW7))/($A7-COUNTA($I7:AW7))</f>
        <v>9.6704545454545272</v>
      </c>
      <c r="AY7" s="7">
        <f>($C7-SUM($I7:AX7))/($A7-COUNTA($I7:AX7))</f>
        <v>9.6704545454545325</v>
      </c>
      <c r="AZ7" s="7">
        <f>($C7-SUM($I7:AY7))/($A7-COUNTA($I7:AY7))</f>
        <v>9.6704545454545414</v>
      </c>
      <c r="BA7" s="7">
        <f>($C7-SUM($I7:AZ7))/($A7-COUNTA($I7:AZ7))</f>
        <v>9.6704545454545325</v>
      </c>
      <c r="BB7" s="7">
        <f>($C7-SUM($I7:BA7))/($A7-COUNTA($I7:BA7))</f>
        <v>9.6704545454545041</v>
      </c>
    </row>
    <row r="8" spans="1:61" x14ac:dyDescent="0.3">
      <c r="A8">
        <v>24</v>
      </c>
      <c r="B8">
        <v>32</v>
      </c>
      <c r="C8">
        <v>960</v>
      </c>
      <c r="D8">
        <f t="shared" si="1"/>
        <v>16</v>
      </c>
      <c r="E8">
        <f>C8-D8</f>
        <v>944</v>
      </c>
      <c r="F8" t="s">
        <v>15</v>
      </c>
      <c r="I8" s="6">
        <v>8</v>
      </c>
      <c r="J8" s="6">
        <v>8</v>
      </c>
      <c r="K8" s="7">
        <f>($C8-SUM($I8:J8))/($A8-COUNTA($I8:J8))</f>
        <v>42.909090909090907</v>
      </c>
      <c r="L8" s="7">
        <f>($C8-SUM($I8:K8))/($A8-COUNTA($I8:K8))</f>
        <v>42.909090909090914</v>
      </c>
      <c r="M8" s="7">
        <f>($C8-SUM($I8:L8))/($A8-COUNTA($I8:L8))</f>
        <v>42.909090909090914</v>
      </c>
      <c r="N8" s="7">
        <f>($C8-SUM($I8:M8))/($A8-COUNTA($I8:M8))</f>
        <v>42.909090909090907</v>
      </c>
      <c r="O8" s="7">
        <f>($C8-SUM($I8:N8))/($A8-COUNTA($I8:N8))</f>
        <v>42.909090909090907</v>
      </c>
      <c r="P8" s="7">
        <f>($C8-SUM($I8:O8))/($A8-COUNTA($I8:O8))</f>
        <v>42.909090909090914</v>
      </c>
      <c r="Q8" s="7">
        <f>($C8-SUM($I8:P8))/($A8-COUNTA($I8:P8))</f>
        <v>42.909090909090907</v>
      </c>
      <c r="R8" s="7">
        <f>($C8-SUM($I8:Q8))/($A8-COUNTA($I8:Q8))</f>
        <v>42.909090909090907</v>
      </c>
      <c r="S8" s="7">
        <f>($C8-SUM($I8:R8))/($A8-COUNTA($I8:R8))</f>
        <v>42.909090909090914</v>
      </c>
      <c r="T8" s="7">
        <f>($C8-SUM($I8:S8))/($A8-COUNTA($I8:S8))</f>
        <v>42.909090909090907</v>
      </c>
      <c r="U8" s="7">
        <f>($C8-SUM($I8:T8))/($A8-COUNTA($I8:T8))</f>
        <v>42.909090909090907</v>
      </c>
      <c r="V8" s="7">
        <f>($C8-SUM($I8:U8))/($A8-COUNTA($I8:U8))</f>
        <v>42.909090909090907</v>
      </c>
      <c r="W8" s="7">
        <f>($C8-SUM($I8:V8))/($A8-COUNTA($I8:V8))</f>
        <v>42.909090909090914</v>
      </c>
      <c r="X8" s="7">
        <f>($C8-SUM($I8:W8))/($A8-COUNTA($I8:W8))</f>
        <v>42.909090909090914</v>
      </c>
      <c r="Y8" s="7">
        <f>($C8-SUM($I8:X8))/($A8-COUNTA($I8:X8))</f>
        <v>42.909090909090921</v>
      </c>
      <c r="Z8" s="7">
        <f>($C8-SUM($I8:Y8))/($A8-COUNTA($I8:Y8))</f>
        <v>42.909090909090928</v>
      </c>
      <c r="AA8" s="7">
        <f>($C8-SUM($I8:Z8))/($A8-COUNTA($I8:Z8))</f>
        <v>42.909090909090935</v>
      </c>
      <c r="AB8" s="7">
        <f>($C8-SUM($I8:AA8))/($A8-COUNTA($I8:AA8))</f>
        <v>42.909090909090949</v>
      </c>
      <c r="AC8" s="7">
        <f>($C8-SUM($I8:AB8))/($A8-COUNTA($I8:AB8))</f>
        <v>42.909090909090935</v>
      </c>
      <c r="AD8" s="7">
        <f>($C8-SUM($I8:AC8))/($A8-COUNTA($I8:AC8))</f>
        <v>42.909090909090914</v>
      </c>
      <c r="AE8" s="7">
        <f>($C8-SUM($I8:AD8))/($A8-COUNTA($I8:AD8))</f>
        <v>42.909090909090935</v>
      </c>
      <c r="AF8" s="7">
        <f>($C8-SUM($I8:AE8))/($A8-COUNTA($I8:AE8))</f>
        <v>42.909090909090992</v>
      </c>
    </row>
    <row r="9" spans="1:61" x14ac:dyDescent="0.3">
      <c r="A9">
        <v>16</v>
      </c>
      <c r="B9">
        <v>21</v>
      </c>
      <c r="C9">
        <v>640</v>
      </c>
      <c r="D9">
        <f>SUM(I9:J9)</f>
        <v>48.5</v>
      </c>
      <c r="E9">
        <f t="shared" si="0"/>
        <v>591.5</v>
      </c>
      <c r="F9" t="s">
        <v>9</v>
      </c>
      <c r="I9" s="6">
        <v>24.5</v>
      </c>
      <c r="J9" s="6">
        <v>24</v>
      </c>
      <c r="K9" s="7">
        <f>($C9-SUM($I9:J9))/($A9-COUNTA($I9:J9))</f>
        <v>42.25</v>
      </c>
      <c r="L9">
        <v>40</v>
      </c>
      <c r="M9">
        <v>40</v>
      </c>
      <c r="N9">
        <v>40</v>
      </c>
      <c r="O9">
        <v>40</v>
      </c>
      <c r="P9">
        <v>40</v>
      </c>
      <c r="Q9">
        <v>40</v>
      </c>
      <c r="R9">
        <v>40</v>
      </c>
      <c r="S9">
        <v>40</v>
      </c>
      <c r="T9">
        <v>40</v>
      </c>
      <c r="U9">
        <v>40</v>
      </c>
      <c r="V9">
        <v>40</v>
      </c>
      <c r="W9">
        <v>40</v>
      </c>
      <c r="X9">
        <v>40</v>
      </c>
    </row>
    <row r="10" spans="1:61" x14ac:dyDescent="0.3">
      <c r="A10">
        <v>12</v>
      </c>
      <c r="B10">
        <v>20</v>
      </c>
      <c r="C10">
        <v>480</v>
      </c>
      <c r="D10">
        <f t="shared" si="1"/>
        <v>35</v>
      </c>
      <c r="E10">
        <f t="shared" si="0"/>
        <v>445</v>
      </c>
      <c r="F10" t="s">
        <v>8</v>
      </c>
      <c r="I10" s="6">
        <v>17.5</v>
      </c>
      <c r="J10" s="6">
        <v>17.5</v>
      </c>
      <c r="K10" s="7">
        <f>($C10-SUM($I10:J10))/($A10-COUNTA($I10:J10))</f>
        <v>44.5</v>
      </c>
      <c r="L10" s="7">
        <f>($C10-SUM($I10:K10))/($A10-COUNTA($I10:K10))</f>
        <v>44.5</v>
      </c>
      <c r="M10" s="7">
        <f>($C10-SUM($I10:L10))/($A10-COUNTA($I10:L10))</f>
        <v>44.5</v>
      </c>
      <c r="N10" s="7">
        <f>($C10-SUM($I10:M10))/($A10-COUNTA($I10:M10))</f>
        <v>44.5</v>
      </c>
      <c r="O10" s="7">
        <f>($C10-SUM($I10:N10))/($A10-COUNTA($I10:N10))</f>
        <v>44.5</v>
      </c>
      <c r="P10" s="7">
        <f>($C10-SUM($I10:O10))/($A10-COUNTA($I10:O10))</f>
        <v>44.5</v>
      </c>
      <c r="Q10" s="7">
        <f>($C10-SUM($I10:P10))/($A10-COUNTA($I10:P10))</f>
        <v>44.5</v>
      </c>
      <c r="R10" s="7">
        <f>($C10-SUM($I10:Q10))/($A10-COUNTA($I10:Q10))</f>
        <v>44.5</v>
      </c>
      <c r="S10" s="7">
        <f>($C10-SUM($I10:R10))/($A10-COUNTA($I10:R10))</f>
        <v>44.5</v>
      </c>
      <c r="T10" s="7">
        <f>($C10-SUM($I10:S10))/($A10-COUNTA($I10:S10))</f>
        <v>44.5</v>
      </c>
    </row>
    <row r="11" spans="1:61" x14ac:dyDescent="0.3">
      <c r="A11">
        <v>8</v>
      </c>
      <c r="B11">
        <v>16</v>
      </c>
      <c r="C11">
        <v>160</v>
      </c>
      <c r="D11">
        <f t="shared" si="1"/>
        <v>87</v>
      </c>
      <c r="E11">
        <f t="shared" si="0"/>
        <v>73</v>
      </c>
      <c r="F11" t="s">
        <v>10</v>
      </c>
      <c r="I11" s="6">
        <v>47</v>
      </c>
      <c r="J11" s="6">
        <v>40</v>
      </c>
      <c r="K11" s="7">
        <f>($C11-SUM($I11:J11))/($A11-COUNTA($I11:J11))</f>
        <v>12.166666666666666</v>
      </c>
      <c r="L11" s="7">
        <f>($C11-SUM($I11:K11))/($A11-COUNTA($I11:K11))</f>
        <v>12.166666666666666</v>
      </c>
      <c r="M11" s="7">
        <f>($C11-SUM($I11:L11))/($A11-COUNTA($I11:L11))</f>
        <v>12.166666666666664</v>
      </c>
      <c r="N11" s="7">
        <f>($C11-SUM($I11:M11))/($A11-COUNTA($I11:M11))</f>
        <v>12.166666666666666</v>
      </c>
      <c r="O11" s="7">
        <f>($C11-SUM($I11:N11))/($A11-COUNTA($I11:N11))</f>
        <v>12.166666666666671</v>
      </c>
      <c r="P11" s="7">
        <f>($C11-SUM($I11:O11))/($A11-COUNTA($I11:O11))</f>
        <v>12.166666666666686</v>
      </c>
    </row>
    <row r="12" spans="1:61" x14ac:dyDescent="0.3">
      <c r="A12">
        <v>4</v>
      </c>
      <c r="B12">
        <v>12</v>
      </c>
      <c r="C12">
        <v>80</v>
      </c>
      <c r="D12">
        <f t="shared" si="1"/>
        <v>0</v>
      </c>
      <c r="E12">
        <f t="shared" si="0"/>
        <v>80</v>
      </c>
      <c r="F12" t="s">
        <v>12</v>
      </c>
      <c r="I12" s="6">
        <v>0</v>
      </c>
      <c r="J12" s="6">
        <v>0</v>
      </c>
      <c r="K12" s="7">
        <f>($C12-SUM($I12:J12))/($A12-COUNTA($I12:J12))</f>
        <v>40</v>
      </c>
      <c r="L12" s="7">
        <f>($C12-SUM($I12:K12))/($A12-COUNTA($I12:K12))</f>
        <v>40</v>
      </c>
      <c r="M12" s="7"/>
      <c r="N12" s="7"/>
      <c r="O12" s="7"/>
      <c r="P12" s="7"/>
    </row>
    <row r="13" spans="1:61" x14ac:dyDescent="0.3">
      <c r="A13">
        <v>24</v>
      </c>
      <c r="B13">
        <v>12</v>
      </c>
      <c r="C13">
        <v>800</v>
      </c>
      <c r="D13">
        <f t="shared" si="1"/>
        <v>0</v>
      </c>
      <c r="E13">
        <f t="shared" si="0"/>
        <v>800</v>
      </c>
      <c r="F13" t="s">
        <v>16</v>
      </c>
      <c r="I13" s="6">
        <v>0</v>
      </c>
      <c r="J13" s="6">
        <v>0</v>
      </c>
      <c r="K13" s="7">
        <f>($C13-SUM($I13:J13))/($A13-COUNTA($I13:J13))</f>
        <v>36.363636363636367</v>
      </c>
      <c r="L13" s="7">
        <f t="shared" ref="L13:AH13" si="2">$E13/($A13-COUNT($I$3:$J$3))</f>
        <v>36.363636363636367</v>
      </c>
      <c r="M13" s="7">
        <f t="shared" si="2"/>
        <v>36.363636363636367</v>
      </c>
      <c r="N13" s="7">
        <f t="shared" si="2"/>
        <v>36.363636363636367</v>
      </c>
      <c r="O13" s="7">
        <f t="shared" si="2"/>
        <v>36.363636363636367</v>
      </c>
      <c r="P13" s="7">
        <f t="shared" si="2"/>
        <v>36.363636363636367</v>
      </c>
      <c r="Q13" s="7">
        <f t="shared" si="2"/>
        <v>36.363636363636367</v>
      </c>
      <c r="R13" s="7">
        <f t="shared" si="2"/>
        <v>36.363636363636367</v>
      </c>
      <c r="S13" s="7">
        <f t="shared" si="2"/>
        <v>36.363636363636367</v>
      </c>
      <c r="T13" s="7">
        <f t="shared" si="2"/>
        <v>36.363636363636367</v>
      </c>
      <c r="U13" s="7">
        <f t="shared" si="2"/>
        <v>36.363636363636367</v>
      </c>
      <c r="V13" s="7">
        <f t="shared" si="2"/>
        <v>36.363636363636367</v>
      </c>
      <c r="W13" s="7">
        <f t="shared" si="2"/>
        <v>36.363636363636367</v>
      </c>
      <c r="X13" s="7">
        <f t="shared" si="2"/>
        <v>36.363636363636367</v>
      </c>
      <c r="Y13" s="7">
        <f t="shared" si="2"/>
        <v>36.363636363636367</v>
      </c>
      <c r="Z13" s="7">
        <f t="shared" si="2"/>
        <v>36.363636363636367</v>
      </c>
      <c r="AA13" s="7">
        <f t="shared" si="2"/>
        <v>36.363636363636367</v>
      </c>
      <c r="AB13" s="7">
        <f t="shared" si="2"/>
        <v>36.363636363636367</v>
      </c>
      <c r="AC13" s="7">
        <f t="shared" si="2"/>
        <v>36.363636363636367</v>
      </c>
      <c r="AD13" s="7">
        <f t="shared" si="2"/>
        <v>36.363636363636367</v>
      </c>
      <c r="AE13" s="7">
        <f t="shared" si="2"/>
        <v>36.363636363636367</v>
      </c>
      <c r="AF13" s="7">
        <f t="shared" si="2"/>
        <v>36.363636363636367</v>
      </c>
      <c r="AG13" s="7">
        <f t="shared" si="2"/>
        <v>36.363636363636367</v>
      </c>
      <c r="AH13" s="7">
        <f t="shared" si="2"/>
        <v>36.363636363636367</v>
      </c>
      <c r="AI13" s="7"/>
    </row>
    <row r="14" spans="1:61" x14ac:dyDescent="0.3">
      <c r="A14">
        <v>0</v>
      </c>
      <c r="C14">
        <v>0</v>
      </c>
      <c r="D14">
        <f t="shared" si="1"/>
        <v>0</v>
      </c>
      <c r="E14">
        <f t="shared" si="0"/>
        <v>0</v>
      </c>
      <c r="F14" t="s">
        <v>17</v>
      </c>
    </row>
    <row r="15" spans="1:61" x14ac:dyDescent="0.3">
      <c r="A15">
        <v>0</v>
      </c>
      <c r="C15">
        <v>0</v>
      </c>
      <c r="D15">
        <f t="shared" si="1"/>
        <v>0</v>
      </c>
      <c r="E15">
        <f t="shared" si="0"/>
        <v>0</v>
      </c>
      <c r="F15" t="s">
        <v>18</v>
      </c>
    </row>
    <row r="16" spans="1:61" x14ac:dyDescent="0.3">
      <c r="A16">
        <v>0</v>
      </c>
      <c r="C16">
        <v>0</v>
      </c>
      <c r="D16">
        <f t="shared" si="1"/>
        <v>0</v>
      </c>
      <c r="E16">
        <f t="shared" si="0"/>
        <v>0</v>
      </c>
      <c r="F16" t="s">
        <v>19</v>
      </c>
    </row>
    <row r="17" spans="1:61" x14ac:dyDescent="0.3">
      <c r="A17">
        <v>0</v>
      </c>
      <c r="C17">
        <v>0</v>
      </c>
      <c r="D17">
        <f t="shared" si="1"/>
        <v>2</v>
      </c>
      <c r="E17">
        <f t="shared" si="0"/>
        <v>-2</v>
      </c>
      <c r="F17" t="s">
        <v>20</v>
      </c>
      <c r="I17" s="6">
        <v>2</v>
      </c>
    </row>
    <row r="18" spans="1:61" s="1" customFormat="1" x14ac:dyDescent="0.3">
      <c r="A18">
        <v>0</v>
      </c>
      <c r="B18"/>
      <c r="C18" s="1">
        <v>0</v>
      </c>
      <c r="D18" s="1">
        <f t="shared" si="1"/>
        <v>0</v>
      </c>
      <c r="E18" s="1">
        <f t="shared" si="0"/>
        <v>0</v>
      </c>
      <c r="F18" s="1" t="s">
        <v>21</v>
      </c>
    </row>
    <row r="19" spans="1:61" x14ac:dyDescent="0.3">
      <c r="F19" s="3" t="s">
        <v>37</v>
      </c>
      <c r="G19">
        <f>SUM(G10:G18)</f>
        <v>0</v>
      </c>
      <c r="H19">
        <f>SUM(H7:H18)</f>
        <v>0</v>
      </c>
      <c r="I19">
        <f>SUM(I5:I18)</f>
        <v>153.5</v>
      </c>
      <c r="J19">
        <f t="shared" ref="J19:BI19" si="3">SUM(J5:J18)</f>
        <v>143.5</v>
      </c>
      <c r="K19">
        <f>SUM(K5:K18)</f>
        <v>252.31439393939394</v>
      </c>
      <c r="L19">
        <f t="shared" si="3"/>
        <v>250.06439393939394</v>
      </c>
      <c r="M19" s="7">
        <f>SUM(M5:M18)</f>
        <v>210.06439393939394</v>
      </c>
      <c r="N19">
        <f t="shared" si="3"/>
        <v>210.06439393939394</v>
      </c>
      <c r="O19">
        <f t="shared" si="3"/>
        <v>210.06439393939394</v>
      </c>
      <c r="P19">
        <f t="shared" si="3"/>
        <v>210.06439393939397</v>
      </c>
      <c r="Q19">
        <f t="shared" si="3"/>
        <v>197.89772727272728</v>
      </c>
      <c r="R19">
        <f t="shared" si="3"/>
        <v>197.89772727272728</v>
      </c>
      <c r="S19">
        <f t="shared" si="3"/>
        <v>197.89772727272728</v>
      </c>
      <c r="T19">
        <f t="shared" si="3"/>
        <v>197.89772727272728</v>
      </c>
      <c r="U19">
        <f t="shared" si="3"/>
        <v>153.39772727272728</v>
      </c>
      <c r="V19">
        <f t="shared" si="3"/>
        <v>153.39772727272728</v>
      </c>
      <c r="W19">
        <f t="shared" si="3"/>
        <v>153.39772727272728</v>
      </c>
      <c r="X19">
        <f t="shared" si="3"/>
        <v>153.39772727272728</v>
      </c>
      <c r="Y19">
        <f t="shared" si="3"/>
        <v>113.39772727272728</v>
      </c>
      <c r="Z19">
        <f t="shared" si="3"/>
        <v>113.39772727272731</v>
      </c>
      <c r="AA19">
        <f t="shared" si="3"/>
        <v>113.39772727272731</v>
      </c>
      <c r="AB19">
        <f t="shared" si="3"/>
        <v>113.39772727272731</v>
      </c>
      <c r="AC19">
        <f t="shared" si="3"/>
        <v>113.39772727272731</v>
      </c>
      <c r="AD19">
        <f t="shared" si="3"/>
        <v>113.39772727272728</v>
      </c>
      <c r="AE19">
        <f t="shared" si="3"/>
        <v>113.39772727272731</v>
      </c>
      <c r="AF19">
        <f t="shared" si="3"/>
        <v>113.39772727272737</v>
      </c>
      <c r="AG19">
        <f t="shared" si="3"/>
        <v>70.48863636363636</v>
      </c>
      <c r="AH19">
        <f t="shared" si="3"/>
        <v>70.488636363636346</v>
      </c>
      <c r="AI19">
        <f t="shared" si="3"/>
        <v>34.124999999999986</v>
      </c>
      <c r="AJ19">
        <f t="shared" si="3"/>
        <v>34.124999999999986</v>
      </c>
      <c r="AK19">
        <f t="shared" si="3"/>
        <v>34.124999999999986</v>
      </c>
      <c r="AL19">
        <f t="shared" si="3"/>
        <v>34.124999999999986</v>
      </c>
      <c r="AM19">
        <f t="shared" si="3"/>
        <v>34.124999999999986</v>
      </c>
      <c r="AN19">
        <f t="shared" si="3"/>
        <v>34.124999999999979</v>
      </c>
      <c r="AO19">
        <f t="shared" si="3"/>
        <v>34.124999999999972</v>
      </c>
      <c r="AP19">
        <f t="shared" si="3"/>
        <v>34.124999999999979</v>
      </c>
      <c r="AQ19">
        <f t="shared" si="3"/>
        <v>34.124999999999972</v>
      </c>
      <c r="AR19">
        <f t="shared" si="3"/>
        <v>34.124999999999972</v>
      </c>
      <c r="AS19">
        <f t="shared" si="3"/>
        <v>34.124999999999964</v>
      </c>
      <c r="AT19">
        <f t="shared" si="3"/>
        <v>34.124999999999957</v>
      </c>
      <c r="AU19">
        <f t="shared" si="3"/>
        <v>34.124999999999957</v>
      </c>
      <c r="AV19">
        <f t="shared" si="3"/>
        <v>34.124999999999957</v>
      </c>
      <c r="AW19">
        <f t="shared" si="3"/>
        <v>34.124999999999943</v>
      </c>
      <c r="AX19">
        <f t="shared" si="3"/>
        <v>34.124999999999929</v>
      </c>
      <c r="AY19">
        <f t="shared" si="3"/>
        <v>34.124999999999943</v>
      </c>
      <c r="AZ19">
        <f t="shared" si="3"/>
        <v>34.124999999999964</v>
      </c>
      <c r="BA19">
        <f t="shared" si="3"/>
        <v>34.124999999999943</v>
      </c>
      <c r="BB19">
        <f t="shared" si="3"/>
        <v>34.124999999999886</v>
      </c>
      <c r="BC19">
        <f t="shared" si="3"/>
        <v>0</v>
      </c>
      <c r="BD19">
        <f t="shared" si="3"/>
        <v>0</v>
      </c>
      <c r="BE19">
        <f t="shared" si="3"/>
        <v>0</v>
      </c>
      <c r="BF19">
        <f t="shared" si="3"/>
        <v>0</v>
      </c>
      <c r="BG19">
        <f t="shared" si="3"/>
        <v>0</v>
      </c>
      <c r="BH19">
        <f t="shared" si="3"/>
        <v>0</v>
      </c>
      <c r="BI19">
        <f t="shared" si="3"/>
        <v>0</v>
      </c>
    </row>
    <row r="21" spans="1:61" x14ac:dyDescent="0.3">
      <c r="F21" t="s">
        <v>36</v>
      </c>
      <c r="H21" s="4">
        <f t="shared" ref="H21:AM21" si="4">H19/H2</f>
        <v>0</v>
      </c>
      <c r="I21" s="4">
        <f t="shared" si="4"/>
        <v>0.82972972972972969</v>
      </c>
      <c r="J21" s="4">
        <f t="shared" si="4"/>
        <v>0.77567567567567564</v>
      </c>
      <c r="K21" s="4">
        <f t="shared" si="4"/>
        <v>1.3638615888615888</v>
      </c>
      <c r="L21" s="4">
        <f t="shared" si="4"/>
        <v>1.3516994266994267</v>
      </c>
      <c r="M21" s="4">
        <f t="shared" si="4"/>
        <v>1.1354832104832104</v>
      </c>
      <c r="N21" s="4">
        <f t="shared" si="4"/>
        <v>1.1354832104832104</v>
      </c>
      <c r="O21" s="4">
        <f t="shared" si="4"/>
        <v>1.1354832104832104</v>
      </c>
      <c r="P21" s="4">
        <f t="shared" si="4"/>
        <v>1.1354832104832107</v>
      </c>
      <c r="Q21" s="4">
        <f t="shared" si="4"/>
        <v>1.0697174447174447</v>
      </c>
      <c r="R21" s="4">
        <f t="shared" si="4"/>
        <v>1.0697174447174447</v>
      </c>
      <c r="S21" s="4">
        <f t="shared" si="4"/>
        <v>1.0697174447174447</v>
      </c>
      <c r="T21" s="4">
        <f t="shared" si="4"/>
        <v>1.0697174447174447</v>
      </c>
      <c r="U21" s="4">
        <f t="shared" si="4"/>
        <v>0.82917690417690426</v>
      </c>
      <c r="V21" s="4">
        <f t="shared" si="4"/>
        <v>0.82917690417690426</v>
      </c>
      <c r="W21" s="4">
        <f t="shared" si="4"/>
        <v>0.82917690417690426</v>
      </c>
      <c r="X21" s="4">
        <f t="shared" si="4"/>
        <v>0.82917690417690426</v>
      </c>
      <c r="Y21" s="4">
        <f t="shared" si="4"/>
        <v>0.61296068796068803</v>
      </c>
      <c r="Z21" s="4">
        <f t="shared" si="4"/>
        <v>0.61296068796068814</v>
      </c>
      <c r="AA21" s="4">
        <f t="shared" si="4"/>
        <v>0.61296068796068814</v>
      </c>
      <c r="AB21" s="4">
        <f t="shared" si="4"/>
        <v>0.61296068796068814</v>
      </c>
      <c r="AC21" s="4">
        <f t="shared" si="4"/>
        <v>0.61296068796068814</v>
      </c>
      <c r="AD21" s="4">
        <f t="shared" si="4"/>
        <v>0.61296068796068803</v>
      </c>
      <c r="AE21" s="4">
        <f t="shared" si="4"/>
        <v>0.61296068796068814</v>
      </c>
      <c r="AF21" s="4">
        <f t="shared" si="4"/>
        <v>0.61296068796068848</v>
      </c>
      <c r="AG21" s="4">
        <f t="shared" si="4"/>
        <v>0.38101965601965598</v>
      </c>
      <c r="AH21" s="4">
        <f t="shared" si="4"/>
        <v>0.38101965601965593</v>
      </c>
      <c r="AI21" s="4">
        <f t="shared" si="4"/>
        <v>0.18445945945945938</v>
      </c>
      <c r="AJ21" s="4">
        <f t="shared" si="4"/>
        <v>0.18445945945945938</v>
      </c>
      <c r="AK21" s="4">
        <f t="shared" si="4"/>
        <v>0.18445945945945938</v>
      </c>
      <c r="AL21" s="4">
        <f t="shared" si="4"/>
        <v>0.18445945945945938</v>
      </c>
      <c r="AM21" s="4">
        <f t="shared" si="4"/>
        <v>0.18445945945945938</v>
      </c>
      <c r="AN21" s="4">
        <f t="shared" ref="AN21:BI21" si="5">AN19/AN2</f>
        <v>0.18445945945945935</v>
      </c>
      <c r="AO21" s="4">
        <f t="shared" si="5"/>
        <v>0.1844594594594593</v>
      </c>
      <c r="AP21" s="4">
        <f t="shared" si="5"/>
        <v>0.18445945945945935</v>
      </c>
      <c r="AQ21" s="4">
        <f t="shared" si="5"/>
        <v>0.1844594594594593</v>
      </c>
      <c r="AR21" s="4">
        <f t="shared" si="5"/>
        <v>0.1844594594594593</v>
      </c>
      <c r="AS21" s="4">
        <f t="shared" si="5"/>
        <v>0.18445945945945927</v>
      </c>
      <c r="AT21" s="4">
        <f t="shared" si="5"/>
        <v>0.18445945945945924</v>
      </c>
      <c r="AU21" s="4">
        <f t="shared" si="5"/>
        <v>0.18445945945945924</v>
      </c>
      <c r="AV21" s="4">
        <f t="shared" si="5"/>
        <v>0.18445945945945924</v>
      </c>
      <c r="AW21" s="4">
        <f t="shared" si="5"/>
        <v>0.18445945945945916</v>
      </c>
      <c r="AX21" s="4">
        <f t="shared" si="5"/>
        <v>0.18445945945945907</v>
      </c>
      <c r="AY21" s="4">
        <f t="shared" si="5"/>
        <v>0.18445945945945916</v>
      </c>
      <c r="AZ21" s="4">
        <f t="shared" si="5"/>
        <v>0.18445945945945927</v>
      </c>
      <c r="BA21" s="4">
        <f t="shared" si="5"/>
        <v>0.18445945945945916</v>
      </c>
      <c r="BB21" s="4">
        <f t="shared" si="5"/>
        <v>0.18445945945945885</v>
      </c>
      <c r="BC21" s="4">
        <f t="shared" si="5"/>
        <v>0</v>
      </c>
      <c r="BD21" s="4">
        <f t="shared" si="5"/>
        <v>0</v>
      </c>
      <c r="BE21" s="4">
        <f t="shared" si="5"/>
        <v>0</v>
      </c>
      <c r="BF21" s="4">
        <f t="shared" si="5"/>
        <v>0</v>
      </c>
      <c r="BG21" s="4">
        <f t="shared" si="5"/>
        <v>0</v>
      </c>
      <c r="BH21" s="4">
        <f t="shared" si="5"/>
        <v>0</v>
      </c>
      <c r="BI21" s="4">
        <f t="shared" si="5"/>
        <v>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6AF9-92D0-4DD7-8F8E-92EEFEE8E969}">
  <sheetPr codeName="Hoja2"/>
  <dimension ref="B3:D6"/>
  <sheetViews>
    <sheetView workbookViewId="0">
      <selection activeCell="B3" sqref="B3:D6"/>
    </sheetView>
  </sheetViews>
  <sheetFormatPr baseColWidth="10" defaultRowHeight="14.4" x14ac:dyDescent="0.3"/>
  <sheetData>
    <row r="3" spans="2:4" x14ac:dyDescent="0.3">
      <c r="B3" t="s">
        <v>1</v>
      </c>
      <c r="C3" t="s">
        <v>5</v>
      </c>
      <c r="D3">
        <v>35</v>
      </c>
    </row>
    <row r="4" spans="2:4" x14ac:dyDescent="0.3">
      <c r="B4" t="s">
        <v>2</v>
      </c>
      <c r="C4" t="s">
        <v>6</v>
      </c>
      <c r="D4">
        <v>35</v>
      </c>
    </row>
    <row r="5" spans="2:4" x14ac:dyDescent="0.3">
      <c r="B5" t="s">
        <v>3</v>
      </c>
      <c r="C5" t="s">
        <v>7</v>
      </c>
      <c r="D5">
        <v>35</v>
      </c>
    </row>
    <row r="6" spans="2:4" x14ac:dyDescent="0.3">
      <c r="B6" t="s">
        <v>4</v>
      </c>
      <c r="C6" t="s">
        <v>6</v>
      </c>
      <c r="D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</vt:lpstr>
      <vt:lpstr>Devs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Morte</dc:creator>
  <cp:lastModifiedBy>Kevin Morte</cp:lastModifiedBy>
  <dcterms:created xsi:type="dcterms:W3CDTF">2015-06-05T18:19:34Z</dcterms:created>
  <dcterms:modified xsi:type="dcterms:W3CDTF">2020-02-19T13:41:15Z</dcterms:modified>
</cp:coreProperties>
</file>